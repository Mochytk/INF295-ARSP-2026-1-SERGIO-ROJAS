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Hoja 3" sheetId="2" r:id="rId6"/>
  </sheets>
  <definedNames/>
  <calcPr/>
</workbook>
</file>

<file path=xl/sharedStrings.xml><?xml version="1.0" encoding="utf-8"?>
<sst xmlns="http://schemas.openxmlformats.org/spreadsheetml/2006/main" count="5438" uniqueCount="66">
  <si>
    <t>Comparativa HC-BI</t>
  </si>
  <si>
    <t>1 Pista</t>
  </si>
  <si>
    <t>5Semilla-10Restart</t>
  </si>
  <si>
    <t>5Semilla-20Restart</t>
  </si>
  <si>
    <t>10Semilla-10Restart</t>
  </si>
  <si>
    <t>10Semilla-20Restart</t>
  </si>
  <si>
    <t>Tipo</t>
  </si>
  <si>
    <t>Num_Pistas</t>
  </si>
  <si>
    <t>Configuracion</t>
  </si>
  <si>
    <t>Instancia</t>
  </si>
  <si>
    <t>Semilla</t>
  </si>
  <si>
    <t>Restarts_Reales</t>
  </si>
  <si>
    <t>Costo_Total</t>
  </si>
  <si>
    <t>Tiempo</t>
  </si>
  <si>
    <t>Intancia</t>
  </si>
  <si>
    <t>Mejor Costo</t>
  </si>
  <si>
    <t>Costo Promedio</t>
  </si>
  <si>
    <t>Varianza</t>
  </si>
  <si>
    <t>Tiempo de Ejecución Promedio</t>
  </si>
  <si>
    <t>FCFS</t>
  </si>
  <si>
    <t>Gap</t>
  </si>
  <si>
    <t>Tiempo Promedio ms</t>
  </si>
  <si>
    <t>Tiempo promedio 5 semillas</t>
  </si>
  <si>
    <t>Tiempo Promedio 10 restarts</t>
  </si>
  <si>
    <t>Tiempo promedio 10 semillas</t>
  </si>
  <si>
    <t>Tiempo Promedio 20 restarts</t>
  </si>
  <si>
    <t>Aumento restarts</t>
  </si>
  <si>
    <t>Aumento semillas</t>
  </si>
  <si>
    <t>Unipista</t>
  </si>
  <si>
    <t>airland1</t>
  </si>
  <si>
    <t>airland2</t>
  </si>
  <si>
    <t>airland3</t>
  </si>
  <si>
    <t>airland4</t>
  </si>
  <si>
    <t>airland5</t>
  </si>
  <si>
    <t>airland6</t>
  </si>
  <si>
    <t>airland7</t>
  </si>
  <si>
    <t>airland8</t>
  </si>
  <si>
    <t>airland9</t>
  </si>
  <si>
    <t>airland10</t>
  </si>
  <si>
    <t>airland11</t>
  </si>
  <si>
    <t>airland12</t>
  </si>
  <si>
    <t>2 Pistas</t>
  </si>
  <si>
    <t>Mejora de 2 a 3</t>
  </si>
  <si>
    <t>Mejor Costo 5 semillas</t>
  </si>
  <si>
    <t>Mejor costo 10 semillas</t>
  </si>
  <si>
    <t>Mejora</t>
  </si>
  <si>
    <t>FPT01</t>
  </si>
  <si>
    <t>FPT02</t>
  </si>
  <si>
    <t>FPT03</t>
  </si>
  <si>
    <t>FPT04</t>
  </si>
  <si>
    <t>FPT05</t>
  </si>
  <si>
    <t>FPT06</t>
  </si>
  <si>
    <t>FPT07</t>
  </si>
  <si>
    <t>FPT08</t>
  </si>
  <si>
    <t>FPT09</t>
  </si>
  <si>
    <t>FPT10</t>
  </si>
  <si>
    <t>FPT11</t>
  </si>
  <si>
    <t>FPT12</t>
  </si>
  <si>
    <t>3 Pistas</t>
  </si>
  <si>
    <t>Mejor Costo 10 Restart</t>
  </si>
  <si>
    <t>Mejor Costo 20 Restart</t>
  </si>
  <si>
    <t>Mejora de 3 a 4</t>
  </si>
  <si>
    <t>4 Pistas</t>
  </si>
  <si>
    <t>Mejora de 4 a 5</t>
  </si>
  <si>
    <t>5 Pistas</t>
  </si>
  <si>
    <t>Multipista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</si>
</sst>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  <scheme val="minor"/>
    </font>
    <font/>
    <font>
      <color theme="1"/>
      <name val="Arial"/>
      <scheme val="minor"/>
    </font>
    <font>
      <sz val="12.0"/>
      <color theme="1"/>
      <name val="&quot;Aptos Narrow&quot;"/>
    </font>
    <font>
      <sz val="12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11" fillId="0" fontId="3" numFmtId="0" xfId="0" applyAlignment="1" applyBorder="1" applyFont="1">
      <alignment horizontal="center" readingOrder="0"/>
    </xf>
    <xf borderId="12" fillId="0" fontId="2" numFmtId="0" xfId="0" applyBorder="1" applyFont="1"/>
    <xf borderId="13" fillId="0" fontId="2" numFmtId="0" xfId="0" applyBorder="1" applyFont="1"/>
    <xf borderId="0" fillId="0" fontId="4" numFmtId="0" xfId="0" applyAlignment="1" applyFont="1">
      <alignment horizontal="left" readingOrder="0" shrinkToFit="0" vertical="bottom" wrapText="0"/>
    </xf>
    <xf borderId="14" fillId="0" fontId="3" numFmtId="0" xfId="0" applyAlignment="1" applyBorder="1" applyFont="1">
      <alignment readingOrder="0"/>
    </xf>
    <xf borderId="15" fillId="0" fontId="3" numFmtId="0" xfId="0" applyAlignment="1" applyBorder="1" applyFont="1">
      <alignment readingOrder="0"/>
    </xf>
    <xf borderId="16" fillId="0" fontId="3" numFmtId="0" xfId="0" applyAlignment="1" applyBorder="1" applyFont="1">
      <alignment readingOrder="0"/>
    </xf>
    <xf borderId="17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8" fillId="0" fontId="3" numFmtId="2" xfId="0" applyBorder="1" applyFont="1" applyNumberFormat="1"/>
    <xf borderId="19" fillId="0" fontId="3" numFmtId="2" xfId="0" applyBorder="1" applyFont="1" applyNumberFormat="1"/>
    <xf borderId="20" fillId="0" fontId="3" numFmtId="2" xfId="0" applyBorder="1" applyFont="1" applyNumberFormat="1"/>
    <xf borderId="0" fillId="0" fontId="3" numFmtId="2" xfId="0" applyFont="1" applyNumberFormat="1"/>
    <xf borderId="0" fillId="0" fontId="3" numFmtId="10" xfId="0" applyAlignment="1" applyFont="1" applyNumberFormat="1">
      <alignment readingOrder="0"/>
    </xf>
    <xf borderId="0" fillId="0" fontId="3" numFmtId="10" xfId="0" applyFont="1" applyNumberFormat="1"/>
    <xf borderId="21" fillId="0" fontId="3" numFmtId="2" xfId="0" applyBorder="1" applyFont="1" applyNumberFormat="1"/>
    <xf borderId="22" fillId="0" fontId="3" numFmtId="2" xfId="0" applyBorder="1" applyFont="1" applyNumberFormat="1"/>
    <xf borderId="23" fillId="0" fontId="3" numFmtId="2" xfId="0" applyBorder="1" applyFont="1" applyNumberFormat="1"/>
    <xf borderId="0" fillId="0" fontId="3" numFmtId="0" xfId="0" applyFont="1"/>
    <xf borderId="19" fillId="0" fontId="3" numFmtId="0" xfId="0" applyAlignment="1" applyBorder="1" applyFont="1">
      <alignment readingOrder="0"/>
    </xf>
    <xf borderId="24" fillId="0" fontId="3" numFmtId="0" xfId="0" applyAlignment="1" applyBorder="1" applyFont="1">
      <alignment readingOrder="0"/>
    </xf>
    <xf borderId="19" fillId="2" fontId="3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um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5 semillas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Resumen!$X$7:$X$18</c:f>
            </c:numRef>
          </c:xVal>
          <c:yVal>
            <c:numRef>
              <c:f>Resumen!$Y$7:$Y$18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031649"/>
        <c:axId val="1065203711"/>
      </c:scatterChart>
      <c:valAx>
        <c:axId val="18780316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203711"/>
      </c:valAx>
      <c:valAx>
        <c:axId val="1065203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031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10 restart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Resumen!$Z$7:$Z$18</c:f>
            </c:numRef>
          </c:xVal>
          <c:yVal>
            <c:numRef>
              <c:f>Resumen!$AA$7:$AA$18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372047"/>
        <c:axId val="2108654205"/>
      </c:scatterChart>
      <c:valAx>
        <c:axId val="14723720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654205"/>
      </c:valAx>
      <c:valAx>
        <c:axId val="2108654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372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10 semillas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Resumen!$AB$7:$AB$18</c:f>
            </c:numRef>
          </c:xVal>
          <c:yVal>
            <c:numRef>
              <c:f>Resumen!$AC$7:$AC$18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088731"/>
        <c:axId val="1716957377"/>
      </c:scatterChart>
      <c:valAx>
        <c:axId val="11170887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957377"/>
      </c:valAx>
      <c:valAx>
        <c:axId val="1716957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088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 restarts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Resumen!$AD$7:$AD$18</c:f>
            </c:numRef>
          </c:xVal>
          <c:yVal>
            <c:numRef>
              <c:f>Resumen!$AE$7:$AE$18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501894"/>
        <c:axId val="1055765781"/>
      </c:scatterChart>
      <c:valAx>
        <c:axId val="14055018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765781"/>
      </c:valAx>
      <c:valAx>
        <c:axId val="1055765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501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0</xdr:colOff>
      <xdr:row>20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1638300</xdr:colOff>
      <xdr:row>20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1276350</xdr:colOff>
      <xdr:row>38</xdr:row>
      <xdr:rowOff>171450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1638300</xdr:colOff>
      <xdr:row>38</xdr:row>
      <xdr:rowOff>171450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J5:AQ1750" displayName="Tabla_2" name="Tabla_2" id="1">
  <tableColumns count="8">
    <tableColumn name="Tipo" id="1"/>
    <tableColumn name="Num_Pistas" id="2"/>
    <tableColumn name="Configuracion" id="3"/>
    <tableColumn name="Instancia" id="4"/>
    <tableColumn name="Semilla" id="5"/>
    <tableColumn name="Restarts_Reales" id="6"/>
    <tableColumn name="Costo_Total" id="7"/>
    <tableColumn name="Tiempo" id="8"/>
  </tableColumns>
  <tableStyleInfo name="Resum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13.0"/>
    <col customWidth="1" min="5" max="5" width="10.75"/>
    <col customWidth="1" min="6" max="6" width="24.13"/>
    <col customWidth="1" min="7" max="7" width="18.13"/>
    <col customWidth="1" min="8" max="8" width="13.0"/>
    <col customWidth="1" min="9" max="9" width="19.13"/>
    <col customWidth="1" min="10" max="10" width="24.13"/>
    <col customWidth="1" min="11" max="11" width="19.13"/>
    <col customWidth="1" min="12" max="12" width="13.0"/>
    <col customWidth="1" min="13" max="13" width="7.5"/>
    <col customWidth="1" min="14" max="14" width="24.13"/>
    <col customWidth="1" min="15" max="15" width="19.13"/>
    <col customWidth="1" min="16" max="16" width="13.0"/>
    <col customWidth="1" min="17" max="17" width="7.5"/>
    <col customWidth="1" min="18" max="18" width="24.13"/>
    <col customWidth="1" min="23" max="23" width="16.75"/>
    <col customWidth="1" min="25" max="25" width="22.38"/>
    <col customWidth="1" min="26" max="27" width="21.75"/>
    <col customWidth="1" min="28" max="30" width="22.38"/>
    <col customWidth="1" min="31" max="34" width="22.75"/>
    <col hidden="1" min="35" max="35" width="12.63"/>
    <col customWidth="1" hidden="1" min="36" max="37" width="15.75"/>
    <col customWidth="1" hidden="1" min="38" max="38" width="18.88"/>
    <col customWidth="1" hidden="1" min="39" max="40" width="15.75"/>
    <col customWidth="1" hidden="1" min="41" max="41" width="19.25"/>
    <col customWidth="1" hidden="1" min="42" max="43" width="15.75"/>
  </cols>
  <sheetData>
    <row r="2">
      <c r="B2" s="1" t="s">
        <v>0</v>
      </c>
      <c r="C2" s="2"/>
      <c r="D2" s="2"/>
      <c r="E2" s="2"/>
      <c r="F2" s="2"/>
      <c r="G2" s="3"/>
    </row>
    <row r="3">
      <c r="B3" s="4"/>
      <c r="C3" s="5"/>
      <c r="D3" s="5"/>
      <c r="E3" s="5"/>
      <c r="F3" s="5"/>
      <c r="G3" s="6"/>
    </row>
    <row r="5" ht="22.5" customHeight="1">
      <c r="B5" s="7" t="s">
        <v>1</v>
      </c>
      <c r="C5" s="8" t="s">
        <v>2</v>
      </c>
      <c r="D5" s="9"/>
      <c r="E5" s="9"/>
      <c r="F5" s="10"/>
      <c r="G5" s="11" t="s">
        <v>3</v>
      </c>
      <c r="H5" s="12"/>
      <c r="I5" s="12"/>
      <c r="J5" s="13"/>
      <c r="K5" s="11" t="s">
        <v>4</v>
      </c>
      <c r="L5" s="12"/>
      <c r="M5" s="12"/>
      <c r="N5" s="13"/>
      <c r="O5" s="11" t="s">
        <v>5</v>
      </c>
      <c r="P5" s="12"/>
      <c r="Q5" s="12"/>
      <c r="R5" s="13"/>
      <c r="AJ5" s="14" t="s">
        <v>6</v>
      </c>
      <c r="AK5" s="14" t="s">
        <v>7</v>
      </c>
      <c r="AL5" s="14" t="s">
        <v>8</v>
      </c>
      <c r="AM5" s="14" t="s">
        <v>9</v>
      </c>
      <c r="AN5" s="14" t="s">
        <v>10</v>
      </c>
      <c r="AO5" s="14" t="s">
        <v>11</v>
      </c>
      <c r="AP5" s="14" t="s">
        <v>12</v>
      </c>
      <c r="AQ5" s="14" t="s">
        <v>13</v>
      </c>
    </row>
    <row r="6" ht="22.5" customHeight="1">
      <c r="B6" s="15" t="s">
        <v>14</v>
      </c>
      <c r="C6" s="16" t="s">
        <v>15</v>
      </c>
      <c r="D6" s="17" t="s">
        <v>16</v>
      </c>
      <c r="E6" s="17" t="s">
        <v>17</v>
      </c>
      <c r="F6" s="18" t="s">
        <v>18</v>
      </c>
      <c r="G6" s="16" t="s">
        <v>15</v>
      </c>
      <c r="H6" s="17" t="s">
        <v>16</v>
      </c>
      <c r="I6" s="17" t="s">
        <v>17</v>
      </c>
      <c r="J6" s="18" t="s">
        <v>18</v>
      </c>
      <c r="K6" s="16" t="s">
        <v>15</v>
      </c>
      <c r="L6" s="17" t="s">
        <v>16</v>
      </c>
      <c r="M6" s="17" t="s">
        <v>17</v>
      </c>
      <c r="N6" s="18" t="s">
        <v>18</v>
      </c>
      <c r="O6" s="16" t="s">
        <v>15</v>
      </c>
      <c r="P6" s="17" t="s">
        <v>16</v>
      </c>
      <c r="Q6" s="17" t="s">
        <v>17</v>
      </c>
      <c r="R6" s="18" t="s">
        <v>18</v>
      </c>
      <c r="S6" s="19" t="s">
        <v>15</v>
      </c>
      <c r="T6" s="19" t="s">
        <v>16</v>
      </c>
      <c r="U6" s="19" t="s">
        <v>19</v>
      </c>
      <c r="V6" s="19" t="s">
        <v>20</v>
      </c>
      <c r="W6" s="19" t="s">
        <v>21</v>
      </c>
      <c r="X6" s="19"/>
      <c r="Y6" s="19" t="s">
        <v>22</v>
      </c>
      <c r="Z6" s="19"/>
      <c r="AA6" s="19" t="s">
        <v>23</v>
      </c>
      <c r="AB6" s="19"/>
      <c r="AC6" s="19" t="s">
        <v>24</v>
      </c>
      <c r="AD6" s="19"/>
      <c r="AE6" s="19" t="s">
        <v>25</v>
      </c>
      <c r="AF6" s="19" t="s">
        <v>26</v>
      </c>
      <c r="AG6" s="19" t="s">
        <v>27</v>
      </c>
      <c r="AH6" s="19"/>
      <c r="AJ6" s="20" t="s">
        <v>28</v>
      </c>
      <c r="AK6" s="21">
        <v>1.0</v>
      </c>
      <c r="AL6" s="20" t="s">
        <v>4</v>
      </c>
      <c r="AM6" s="20" t="s">
        <v>29</v>
      </c>
      <c r="AN6" s="21">
        <v>2948.0</v>
      </c>
      <c r="AO6" s="21">
        <v>10.0</v>
      </c>
      <c r="AP6" s="20">
        <v>1150.0</v>
      </c>
      <c r="AQ6" s="20">
        <v>0.21</v>
      </c>
    </row>
    <row r="7" ht="22.5" customHeight="1">
      <c r="B7" s="15" t="s">
        <v>29</v>
      </c>
      <c r="C7" s="22">
        <f>MINIFS(Tabla_2[Costo_Total],Tabla_2[Instancia],$B7,Tabla_2[Configuracion],$C$5)</f>
        <v>1150</v>
      </c>
      <c r="D7" s="23">
        <f>AVERAGEIFS(Tabla_2[Costo_Total],Tabla_2[Instancia],B7,Tabla_2[Configuracion],C$5)</f>
        <v>1150</v>
      </c>
      <c r="E7" s="23">
        <f>IFERROR(__xludf.DUMMYFUNCTION("STDEV(FILTER(Tabla_2[Costo_Total],Tabla_2[Instancia]=$B7,Tabla_2[Configuracion]=$C$5))"),0.0)</f>
        <v>0</v>
      </c>
      <c r="F7" s="24">
        <f>AVERAGEIFS(Tabla_2[Tiempo],Tabla_2[Instancia],$B7,Tabla_2[Configuracion],$C$5)</f>
        <v>0.24</v>
      </c>
      <c r="G7" s="22">
        <f>MINIFS(Tabla_2[Costo_Total],Tabla_2[Instancia],$B7,Tabla_2[Configuracion],$G$5)</f>
        <v>1150</v>
      </c>
      <c r="H7" s="23">
        <f>AVERAGEIFS(Tabla_2[Costo_Total],Tabla_2[Instancia],B7,Tabla_2[Configuracion],G$5)</f>
        <v>1150</v>
      </c>
      <c r="I7" s="23">
        <f>IFERROR(__xludf.DUMMYFUNCTION("STDEV(FILTER(Tabla_2[Costo_Total],Tabla_2[Instancia]=$B7,Tabla_2[Configuracion]=$G$5))"),0.0)</f>
        <v>0</v>
      </c>
      <c r="J7" s="24">
        <f>AVERAGEIFS(Tabla_2[Tiempo],Tabla_2[Instancia],$B7,Tabla_2[Configuracion],$G$5)</f>
        <v>0.256</v>
      </c>
      <c r="K7" s="22">
        <f>MINIFS(Tabla_2[Costo_Total],Tabla_2[Instancia],$B7,Tabla_2[Configuracion],$K$5)</f>
        <v>1150</v>
      </c>
      <c r="L7" s="23">
        <f>AVERAGEIFS(Tabla_2[Costo_Total],Tabla_2[Instancia],B7,Tabla_2[Configuracion],K$5)</f>
        <v>1150</v>
      </c>
      <c r="M7" s="23">
        <f>IFERROR(__xludf.DUMMYFUNCTION("STDEV(FILTER(Tabla_2[Costo_Total],Tabla_2[Instancia]=$B7,Tabla_2[Configuracion]=$K$5))"),0.0)</f>
        <v>0</v>
      </c>
      <c r="N7" s="24">
        <f>AVERAGEIFS(Tabla_2[Tiempo],Tabla_2[Instancia],$B7,Tabla_2[Configuracion],$K$5)</f>
        <v>0.277</v>
      </c>
      <c r="O7" s="22">
        <f>MINIFS(Tabla_2[Costo_Total],Tabla_2[Instancia],$B7,Tabla_2[Configuracion],$O$5)</f>
        <v>1150</v>
      </c>
      <c r="P7" s="23">
        <f>AVERAGEIFS(Tabla_2[Costo_Total],Tabla_2[Instancia],B7,Tabla_2[Configuracion],O$5)</f>
        <v>1150</v>
      </c>
      <c r="Q7" s="23">
        <f>IFERROR(__xludf.DUMMYFUNCTION("STDEV(FILTER(Tabla_2[Costo_Total],Tabla_2[Instancia]=$B7,Tabla_2[Configuracion]=$O$5))"),0.0)</f>
        <v>0</v>
      </c>
      <c r="R7" s="24">
        <f>AVERAGEIFS(Tabla_2[Tiempo],Tabla_2[Instancia],$B7,Tabla_2[Configuracion],$O$5)</f>
        <v>0.321</v>
      </c>
      <c r="S7" s="25">
        <f t="shared" ref="S7:S18" si="1">MIN(O7,K7,G7,C7)</f>
        <v>1150</v>
      </c>
      <c r="T7" s="25">
        <f t="shared" ref="T7:T18" si="2">P7</f>
        <v>1150</v>
      </c>
      <c r="U7" s="19">
        <v>1233.0</v>
      </c>
      <c r="V7" s="26">
        <f t="shared" ref="V7:V18" si="3">(U7-S7)/U7</f>
        <v>0.06731549067</v>
      </c>
      <c r="W7" s="25">
        <f t="shared" ref="W7:W18" si="4">R7</f>
        <v>0.321</v>
      </c>
      <c r="X7" s="19">
        <v>1.0</v>
      </c>
      <c r="Y7" s="25">
        <f t="shared" ref="Y7:Y18" si="5">AVERAGE(F7,J7)</f>
        <v>0.248</v>
      </c>
      <c r="Z7" s="19">
        <v>1.0</v>
      </c>
      <c r="AA7" s="25">
        <f t="shared" ref="AA7:AA18" si="6">AVERAGE(F7,N7)</f>
        <v>0.2585</v>
      </c>
      <c r="AB7" s="19">
        <v>1.0</v>
      </c>
      <c r="AC7" s="25">
        <f t="shared" ref="AC7:AC18" si="7">AVERAGE(R7,N7)</f>
        <v>0.299</v>
      </c>
      <c r="AD7" s="19">
        <v>1.0</v>
      </c>
      <c r="AE7" s="25">
        <f t="shared" ref="AE7:AE18" si="8">AVERAGE(R7,J7)</f>
        <v>0.2885</v>
      </c>
      <c r="AF7" s="27">
        <f t="shared" ref="AF7:AF18" si="9">(AE7-AA7)/AA7</f>
        <v>0.1160541586</v>
      </c>
      <c r="AG7" s="27">
        <f t="shared" ref="AG7:AG18" si="10">(Y7-AC7)/Y7</f>
        <v>-0.2056451613</v>
      </c>
      <c r="AH7" s="27"/>
      <c r="AJ7" s="20" t="s">
        <v>28</v>
      </c>
      <c r="AK7" s="21">
        <v>1.0</v>
      </c>
      <c r="AL7" s="20" t="s">
        <v>4</v>
      </c>
      <c r="AM7" s="20" t="s">
        <v>29</v>
      </c>
      <c r="AN7" s="21">
        <v>66436.0</v>
      </c>
      <c r="AO7" s="21">
        <v>10.0</v>
      </c>
      <c r="AP7" s="20">
        <v>1150.0</v>
      </c>
      <c r="AQ7" s="20">
        <v>0.22</v>
      </c>
    </row>
    <row r="8" ht="22.5" customHeight="1">
      <c r="B8" s="15" t="s">
        <v>30</v>
      </c>
      <c r="C8" s="22">
        <f>MINIFS(Tabla_2[Costo_Total],Tabla_2[Instancia],B8,Tabla_2[Configuracion],$C$5)</f>
        <v>1720</v>
      </c>
      <c r="D8" s="23">
        <f>AVERAGEIFS(Tabla_2[Costo_Total],Tabla_2[Instancia],B8,Tabla_2[Configuracion],$C$5)</f>
        <v>1782</v>
      </c>
      <c r="E8" s="23">
        <f>IFERROR(__xludf.DUMMYFUNCTION("STDEV(FILTER(Tabla_2[Costo_Total],Tabla_2[Instancia]=B8,Tabla_2[Configuracion]=$C$5))"),138.63621460498698)</f>
        <v>138.6362146</v>
      </c>
      <c r="F8" s="24">
        <f>AVERAGEIFS(Tabla_2[Tiempo],Tabla_2[Instancia],B8,Tabla_2[Configuracion],$C$5)</f>
        <v>0.594</v>
      </c>
      <c r="G8" s="22">
        <f>MINIFS(Tabla_2[Costo_Total],Tabla_2[Instancia],$B8,Tabla_2[Configuracion],$G$5)</f>
        <v>1720</v>
      </c>
      <c r="H8" s="23">
        <f>AVERAGEIFS(Tabla_2[Costo_Total],Tabla_2[Instancia],B8,Tabla_2[Configuracion],G$5)</f>
        <v>1782</v>
      </c>
      <c r="I8" s="23">
        <f>IFERROR(__xludf.DUMMYFUNCTION("STDEV(FILTER(Tabla_2[Costo_Total],Tabla_2[Instancia]=$B8,Tabla_2[Configuracion]=$G$5))"),138.63621460498695)</f>
        <v>138.6362146</v>
      </c>
      <c r="J8" s="24">
        <f>AVERAGEIFS(Tabla_2[Tiempo],Tabla_2[Instancia],$B8,Tabla_2[Configuracion],$G$5)</f>
        <v>0.788</v>
      </c>
      <c r="K8" s="22">
        <f>MINIFS(Tabla_2[Costo_Total],Tabla_2[Instancia],$B8,Tabla_2[Configuracion],$K$5)</f>
        <v>1720</v>
      </c>
      <c r="L8" s="23">
        <f>AVERAGEIFS(Tabla_2[Costo_Total],Tabla_2[Instancia],B8,Tabla_2[Configuracion],K$5)</f>
        <v>1875</v>
      </c>
      <c r="M8" s="23">
        <f>IFERROR(__xludf.DUMMYFUNCTION("STDEV(FILTER(Tabla_2[Costo_Total],Tabla_2[Instancia]=$B8,Tabla_2[Configuracion]=$K$5))"),163.38434577536626)</f>
        <v>163.3843458</v>
      </c>
      <c r="N8" s="24">
        <f>AVERAGEIFS(Tabla_2[Tiempo],Tabla_2[Instancia],$B8,Tabla_2[Configuracion],$K$5)</f>
        <v>0.713</v>
      </c>
      <c r="O8" s="22">
        <f>MINIFS(Tabla_2[Costo_Total],Tabla_2[Instancia],$B8,Tabla_2[Configuracion],$K$5)</f>
        <v>1720</v>
      </c>
      <c r="P8" s="23">
        <f>AVERAGEIFS(Tabla_2[Costo_Total],Tabla_2[Instancia],B8,Tabla_2[Configuracion],O$5)</f>
        <v>1875</v>
      </c>
      <c r="Q8" s="23">
        <f>IFERROR(__xludf.DUMMYFUNCTION("STDEV(FILTER(Tabla_2[Costo_Total],Tabla_2[Instancia]=$B8,Tabla_2[Configuracion]=$O$5))"),163.38434577536626)</f>
        <v>163.3843458</v>
      </c>
      <c r="R8" s="24">
        <f>AVERAGEIFS(Tabla_2[Tiempo],Tabla_2[Instancia],$B8,Tabla_2[Configuracion],$O$5)</f>
        <v>0.799</v>
      </c>
      <c r="S8" s="25">
        <f t="shared" si="1"/>
        <v>1720</v>
      </c>
      <c r="T8" s="25">
        <f t="shared" si="2"/>
        <v>1875</v>
      </c>
      <c r="U8" s="19">
        <v>2063.0</v>
      </c>
      <c r="V8" s="26">
        <f t="shared" si="3"/>
        <v>0.1662627242</v>
      </c>
      <c r="W8" s="25">
        <f t="shared" si="4"/>
        <v>0.799</v>
      </c>
      <c r="X8" s="19">
        <v>2.0</v>
      </c>
      <c r="Y8" s="25">
        <f t="shared" si="5"/>
        <v>0.691</v>
      </c>
      <c r="Z8" s="19">
        <v>2.0</v>
      </c>
      <c r="AA8" s="25">
        <f t="shared" si="6"/>
        <v>0.6535</v>
      </c>
      <c r="AB8" s="19">
        <v>2.0</v>
      </c>
      <c r="AC8" s="25">
        <f t="shared" si="7"/>
        <v>0.756</v>
      </c>
      <c r="AD8" s="19">
        <v>2.0</v>
      </c>
      <c r="AE8" s="25">
        <f t="shared" si="8"/>
        <v>0.7935</v>
      </c>
      <c r="AF8" s="27">
        <f t="shared" si="9"/>
        <v>0.2142310635</v>
      </c>
      <c r="AG8" s="27">
        <f t="shared" si="10"/>
        <v>-0.09406657019</v>
      </c>
      <c r="AH8" s="27"/>
      <c r="AJ8" s="20" t="s">
        <v>28</v>
      </c>
      <c r="AK8" s="21">
        <v>1.0</v>
      </c>
      <c r="AL8" s="20" t="s">
        <v>4</v>
      </c>
      <c r="AM8" s="20" t="s">
        <v>29</v>
      </c>
      <c r="AN8" s="21">
        <v>33668.0</v>
      </c>
      <c r="AO8" s="21">
        <v>10.0</v>
      </c>
      <c r="AP8" s="20">
        <v>1150.0</v>
      </c>
      <c r="AQ8" s="20">
        <v>0.23</v>
      </c>
    </row>
    <row r="9" ht="22.5" customHeight="1">
      <c r="B9" s="15" t="s">
        <v>31</v>
      </c>
      <c r="C9" s="22">
        <f>MINIFS(Tabla_2[Costo_Total],Tabla_2[Instancia],B9,Tabla_2[Configuracion],$C$5)</f>
        <v>1610</v>
      </c>
      <c r="D9" s="23">
        <f>AVERAGEIFS(Tabla_2[Costo_Total],Tabla_2[Instancia],B9,Tabla_2[Configuracion],$C$5)</f>
        <v>1610</v>
      </c>
      <c r="E9" s="23">
        <f>IFERROR(__xludf.DUMMYFUNCTION("STDEV(FILTER(Tabla_2[Costo_Total],Tabla_2[Instancia]=B9,Tabla_2[Configuracion]=$C$5))"),0.0)</f>
        <v>0</v>
      </c>
      <c r="F9" s="24">
        <f>AVERAGEIFS(Tabla_2[Tiempo],Tabla_2[Instancia],B9,Tabla_2[Configuracion],$C$5)</f>
        <v>4.492</v>
      </c>
      <c r="G9" s="22">
        <f>MINIFS(Tabla_2[Costo_Total],Tabla_2[Instancia],$B9,Tabla_2[Configuracion],$G$5)</f>
        <v>1610</v>
      </c>
      <c r="H9" s="23">
        <f>AVERAGEIFS(Tabla_2[Costo_Total],Tabla_2[Instancia],B9,Tabla_2[Configuracion],G$5)</f>
        <v>1610</v>
      </c>
      <c r="I9" s="23">
        <f>IFERROR(__xludf.DUMMYFUNCTION("STDEV(FILTER(Tabla_2[Costo_Total],Tabla_2[Instancia]=$B9,Tabla_2[Configuracion]=$G$5))"),0.0)</f>
        <v>0</v>
      </c>
      <c r="J9" s="24">
        <f>AVERAGEIFS(Tabla_2[Tiempo],Tabla_2[Instancia],$B9,Tabla_2[Configuracion],$G$5)</f>
        <v>4.984</v>
      </c>
      <c r="K9" s="22">
        <f>MINIFS(Tabla_2[Costo_Total],Tabla_2[Instancia],$B9,Tabla_2[Configuracion],$K$5)</f>
        <v>1610</v>
      </c>
      <c r="L9" s="23">
        <f>AVERAGEIFS(Tabla_2[Costo_Total],Tabla_2[Instancia],B9,Tabla_2[Configuracion],K$5)</f>
        <v>1610</v>
      </c>
      <c r="M9" s="23">
        <f>IFERROR(__xludf.DUMMYFUNCTION("STDEV(FILTER(Tabla_2[Costo_Total],Tabla_2[Instancia]=$B9,Tabla_2[Configuracion]=$K$5))"),0.0)</f>
        <v>0</v>
      </c>
      <c r="N9" s="24">
        <f>AVERAGEIFS(Tabla_2[Tiempo],Tabla_2[Instancia],$B9,Tabla_2[Configuracion],$K$5)</f>
        <v>4.38</v>
      </c>
      <c r="O9" s="22">
        <f>MINIFS(Tabla_2[Costo_Total],Tabla_2[Instancia],$B9,Tabla_2[Configuracion],$K$5)</f>
        <v>1610</v>
      </c>
      <c r="P9" s="23">
        <f>AVERAGEIFS(Tabla_2[Costo_Total],Tabla_2[Instancia],B9,Tabla_2[Configuracion],O$5)</f>
        <v>1610</v>
      </c>
      <c r="Q9" s="23">
        <f>IFERROR(__xludf.DUMMYFUNCTION("STDEV(FILTER(Tabla_2[Costo_Total],Tabla_2[Instancia]=$B9,Tabla_2[Configuracion]=$O$5))"),0.0)</f>
        <v>0</v>
      </c>
      <c r="R9" s="24">
        <f>AVERAGEIFS(Tabla_2[Tiempo],Tabla_2[Instancia],$B9,Tabla_2[Configuracion],$O$5)</f>
        <v>4.818</v>
      </c>
      <c r="S9" s="25">
        <f t="shared" si="1"/>
        <v>1610</v>
      </c>
      <c r="T9" s="25">
        <f t="shared" si="2"/>
        <v>1610</v>
      </c>
      <c r="U9" s="19">
        <v>2940.0</v>
      </c>
      <c r="V9" s="26">
        <f t="shared" si="3"/>
        <v>0.4523809524</v>
      </c>
      <c r="W9" s="25">
        <f t="shared" si="4"/>
        <v>4.818</v>
      </c>
      <c r="X9" s="19">
        <v>3.0</v>
      </c>
      <c r="Y9" s="25">
        <f t="shared" si="5"/>
        <v>4.738</v>
      </c>
      <c r="Z9" s="19">
        <v>3.0</v>
      </c>
      <c r="AA9" s="25">
        <f t="shared" si="6"/>
        <v>4.436</v>
      </c>
      <c r="AB9" s="19">
        <v>3.0</v>
      </c>
      <c r="AC9" s="25">
        <f t="shared" si="7"/>
        <v>4.599</v>
      </c>
      <c r="AD9" s="19">
        <v>3.0</v>
      </c>
      <c r="AE9" s="25">
        <f t="shared" si="8"/>
        <v>4.901</v>
      </c>
      <c r="AF9" s="27">
        <f t="shared" si="9"/>
        <v>0.1048241659</v>
      </c>
      <c r="AG9" s="27">
        <f t="shared" si="10"/>
        <v>0.02933727311</v>
      </c>
      <c r="AH9" s="27"/>
      <c r="AJ9" s="20" t="s">
        <v>28</v>
      </c>
      <c r="AK9" s="21">
        <v>1.0</v>
      </c>
      <c r="AL9" s="20" t="s">
        <v>2</v>
      </c>
      <c r="AM9" s="20" t="s">
        <v>29</v>
      </c>
      <c r="AN9" s="21">
        <v>2948.0</v>
      </c>
      <c r="AO9" s="21">
        <v>10.0</v>
      </c>
      <c r="AP9" s="20">
        <v>1150.0</v>
      </c>
      <c r="AQ9" s="20">
        <v>0.23</v>
      </c>
    </row>
    <row r="10" ht="22.5" customHeight="1">
      <c r="B10" s="15" t="s">
        <v>32</v>
      </c>
      <c r="C10" s="22">
        <f>MINIFS(Tabla_2[Costo_Total],Tabla_2[Instancia],B10,Tabla_2[Configuracion],$C$5)</f>
        <v>4480</v>
      </c>
      <c r="D10" s="23">
        <f>AVERAGEIFS(Tabla_2[Costo_Total],Tabla_2[Instancia],B10,Tabla_2[Configuracion],$C$5)</f>
        <v>4480</v>
      </c>
      <c r="E10" s="23">
        <f>IFERROR(__xludf.DUMMYFUNCTION("STDEV(FILTER(Tabla_2[Costo_Total],Tabla_2[Instancia]=B10,Tabla_2[Configuracion]=$C$5))"),0.0)</f>
        <v>0</v>
      </c>
      <c r="F10" s="24">
        <f>AVERAGEIFS(Tabla_2[Tiempo],Tabla_2[Instancia],B10,Tabla_2[Configuracion],$C$5)</f>
        <v>2.838</v>
      </c>
      <c r="G10" s="22">
        <f>MINIFS(Tabla_2[Costo_Total],Tabla_2[Instancia],$B10,Tabla_2[Configuracion],$G$5)</f>
        <v>4480</v>
      </c>
      <c r="H10" s="23">
        <f>AVERAGEIFS(Tabla_2[Costo_Total],Tabla_2[Instancia],B10,Tabla_2[Configuracion],G$5)</f>
        <v>4480</v>
      </c>
      <c r="I10" s="23">
        <f>IFERROR(__xludf.DUMMYFUNCTION("STDEV(FILTER(Tabla_2[Costo_Total],Tabla_2[Instancia]=$B10,Tabla_2[Configuracion]=$G$5))"),0.0)</f>
        <v>0</v>
      </c>
      <c r="J10" s="24">
        <f>AVERAGEIFS(Tabla_2[Tiempo],Tabla_2[Instancia],$B10,Tabla_2[Configuracion],$G$5)</f>
        <v>3.142</v>
      </c>
      <c r="K10" s="22">
        <f>MINIFS(Tabla_2[Costo_Total],Tabla_2[Instancia],$B10,Tabla_2[Configuracion],$K$5)</f>
        <v>4480</v>
      </c>
      <c r="L10" s="23">
        <f>AVERAGEIFS(Tabla_2[Costo_Total],Tabla_2[Instancia],B10,Tabla_2[Configuracion],K$5)</f>
        <v>4480</v>
      </c>
      <c r="M10" s="23">
        <f>IFERROR(__xludf.DUMMYFUNCTION("STDEV(FILTER(Tabla_2[Costo_Total],Tabla_2[Instancia]=$B10,Tabla_2[Configuracion]=$K$5))"),0.0)</f>
        <v>0</v>
      </c>
      <c r="N10" s="24">
        <f>AVERAGEIFS(Tabla_2[Tiempo],Tabla_2[Instancia],$B10,Tabla_2[Configuracion],$K$5)</f>
        <v>3.79</v>
      </c>
      <c r="O10" s="22">
        <f>MINIFS(Tabla_2[Costo_Total],Tabla_2[Instancia],$B10,Tabla_2[Configuracion],$K$5)</f>
        <v>4480</v>
      </c>
      <c r="P10" s="23">
        <f>AVERAGEIFS(Tabla_2[Costo_Total],Tabla_2[Instancia],B10,Tabla_2[Configuracion],O$5)</f>
        <v>4480</v>
      </c>
      <c r="Q10" s="23">
        <f>IFERROR(__xludf.DUMMYFUNCTION("STDEV(FILTER(Tabla_2[Costo_Total],Tabla_2[Instancia]=$B10,Tabla_2[Configuracion]=$O$5))"),0.0)</f>
        <v>0</v>
      </c>
      <c r="R10" s="24">
        <f>AVERAGEIFS(Tabla_2[Tiempo],Tabla_2[Instancia],$B10,Tabla_2[Configuracion],$O$5)</f>
        <v>3.149</v>
      </c>
      <c r="S10" s="25">
        <f t="shared" si="1"/>
        <v>4480</v>
      </c>
      <c r="T10" s="25">
        <f t="shared" si="2"/>
        <v>4480</v>
      </c>
      <c r="U10" s="19">
        <v>4566.0</v>
      </c>
      <c r="V10" s="26">
        <f t="shared" si="3"/>
        <v>0.0188348664</v>
      </c>
      <c r="W10" s="25">
        <f t="shared" si="4"/>
        <v>3.149</v>
      </c>
      <c r="X10" s="19">
        <v>4.0</v>
      </c>
      <c r="Y10" s="25">
        <f t="shared" si="5"/>
        <v>2.99</v>
      </c>
      <c r="Z10" s="19">
        <v>4.0</v>
      </c>
      <c r="AA10" s="25">
        <f t="shared" si="6"/>
        <v>3.314</v>
      </c>
      <c r="AB10" s="19">
        <v>4.0</v>
      </c>
      <c r="AC10" s="25">
        <f t="shared" si="7"/>
        <v>3.4695</v>
      </c>
      <c r="AD10" s="19">
        <v>4.0</v>
      </c>
      <c r="AE10" s="25">
        <f t="shared" si="8"/>
        <v>3.1455</v>
      </c>
      <c r="AF10" s="27">
        <f t="shared" si="9"/>
        <v>-0.05084490042</v>
      </c>
      <c r="AG10" s="27">
        <f t="shared" si="10"/>
        <v>-0.160367893</v>
      </c>
      <c r="AH10" s="27"/>
      <c r="AJ10" s="20" t="s">
        <v>28</v>
      </c>
      <c r="AK10" s="21">
        <v>1.0</v>
      </c>
      <c r="AL10" s="20" t="s">
        <v>2</v>
      </c>
      <c r="AM10" s="20" t="s">
        <v>29</v>
      </c>
      <c r="AN10" s="21">
        <v>4996.0</v>
      </c>
      <c r="AO10" s="21">
        <v>10.0</v>
      </c>
      <c r="AP10" s="20">
        <v>1150.0</v>
      </c>
      <c r="AQ10" s="20">
        <v>0.23</v>
      </c>
    </row>
    <row r="11" ht="22.5" customHeight="1">
      <c r="B11" s="15" t="s">
        <v>33</v>
      </c>
      <c r="C11" s="22">
        <f>MINIFS(Tabla_2[Costo_Total],Tabla_2[Instancia],B11,Tabla_2[Configuracion],$C$5)</f>
        <v>4800</v>
      </c>
      <c r="D11" s="23">
        <f>AVERAGEIFS(Tabla_2[Costo_Total],Tabla_2[Instancia],B11,Tabla_2[Configuracion],$C$5)</f>
        <v>4800</v>
      </c>
      <c r="E11" s="23">
        <f>IFERROR(__xludf.DUMMYFUNCTION("STDEV(FILTER(Tabla_2[Costo_Total],Tabla_2[Instancia]=B11,Tabla_2[Configuracion]=$C$5))"),0.0)</f>
        <v>0</v>
      </c>
      <c r="F11" s="24">
        <f>AVERAGEIFS(Tabla_2[Tiempo],Tabla_2[Instancia],B11,Tabla_2[Configuracion],$C$5)</f>
        <v>2.514</v>
      </c>
      <c r="G11" s="22">
        <f>MINIFS(Tabla_2[Costo_Total],Tabla_2[Instancia],$B11,Tabla_2[Configuracion],$G$5)</f>
        <v>4800</v>
      </c>
      <c r="H11" s="23">
        <f>AVERAGEIFS(Tabla_2[Costo_Total],Tabla_2[Instancia],B11,Tabla_2[Configuracion],G$5)</f>
        <v>4800</v>
      </c>
      <c r="I11" s="23">
        <f>IFERROR(__xludf.DUMMYFUNCTION("STDEV(FILTER(Tabla_2[Costo_Total],Tabla_2[Instancia]=$B11,Tabla_2[Configuracion]=$G$5))"),0.0)</f>
        <v>0</v>
      </c>
      <c r="J11" s="24">
        <f>AVERAGEIFS(Tabla_2[Tiempo],Tabla_2[Instancia],$B11,Tabla_2[Configuracion],$G$5)</f>
        <v>3.492</v>
      </c>
      <c r="K11" s="22">
        <f>MINIFS(Tabla_2[Costo_Total],Tabla_2[Instancia],$B11,Tabla_2[Configuracion],$K$5)</f>
        <v>4800</v>
      </c>
      <c r="L11" s="23">
        <f>AVERAGEIFS(Tabla_2[Costo_Total],Tabla_2[Instancia],B11,Tabla_2[Configuracion],K$5)</f>
        <v>4800</v>
      </c>
      <c r="M11" s="23">
        <f>IFERROR(__xludf.DUMMYFUNCTION("STDEV(FILTER(Tabla_2[Costo_Total],Tabla_2[Instancia]=$B11,Tabla_2[Configuracion]=$K$5))"),0.0)</f>
        <v>0</v>
      </c>
      <c r="N11" s="24">
        <f>AVERAGEIFS(Tabla_2[Tiempo],Tabla_2[Instancia],$B11,Tabla_2[Configuracion],$K$5)</f>
        <v>3.088</v>
      </c>
      <c r="O11" s="22">
        <f>MINIFS(Tabla_2[Costo_Total],Tabla_2[Instancia],$B11,Tabla_2[Configuracion],$K$5)</f>
        <v>4800</v>
      </c>
      <c r="P11" s="23">
        <f>AVERAGEIFS(Tabla_2[Costo_Total],Tabla_2[Instancia],B11,Tabla_2[Configuracion],O$5)</f>
        <v>4800</v>
      </c>
      <c r="Q11" s="23">
        <f>IFERROR(__xludf.DUMMYFUNCTION("STDEV(FILTER(Tabla_2[Costo_Total],Tabla_2[Instancia]=$B11,Tabla_2[Configuracion]=$O$5))"),0.0)</f>
        <v>0</v>
      </c>
      <c r="R11" s="24">
        <f>AVERAGEIFS(Tabla_2[Tiempo],Tabla_2[Instancia],$B11,Tabla_2[Configuracion],$O$5)</f>
        <v>3.538</v>
      </c>
      <c r="S11" s="25">
        <f t="shared" si="1"/>
        <v>4800</v>
      </c>
      <c r="T11" s="25">
        <f t="shared" si="2"/>
        <v>4800</v>
      </c>
      <c r="U11" s="19">
        <v>7232.0</v>
      </c>
      <c r="V11" s="26">
        <f t="shared" si="3"/>
        <v>0.3362831858</v>
      </c>
      <c r="W11" s="25">
        <f t="shared" si="4"/>
        <v>3.538</v>
      </c>
      <c r="X11" s="19">
        <v>5.0</v>
      </c>
      <c r="Y11" s="25">
        <f t="shared" si="5"/>
        <v>3.003</v>
      </c>
      <c r="Z11" s="19">
        <v>5.0</v>
      </c>
      <c r="AA11" s="25">
        <f t="shared" si="6"/>
        <v>2.801</v>
      </c>
      <c r="AB11" s="19">
        <v>5.0</v>
      </c>
      <c r="AC11" s="25">
        <f t="shared" si="7"/>
        <v>3.313</v>
      </c>
      <c r="AD11" s="19">
        <v>5.0</v>
      </c>
      <c r="AE11" s="25">
        <f t="shared" si="8"/>
        <v>3.515</v>
      </c>
      <c r="AF11" s="27">
        <f t="shared" si="9"/>
        <v>0.2549089611</v>
      </c>
      <c r="AG11" s="27">
        <f t="shared" si="10"/>
        <v>-0.1032301032</v>
      </c>
      <c r="AH11" s="27"/>
      <c r="AJ11" s="20" t="s">
        <v>28</v>
      </c>
      <c r="AK11" s="21">
        <v>1.0</v>
      </c>
      <c r="AL11" s="20" t="s">
        <v>4</v>
      </c>
      <c r="AM11" s="20" t="s">
        <v>29</v>
      </c>
      <c r="AN11" s="21">
        <v>17284.0</v>
      </c>
      <c r="AO11" s="21">
        <v>10.0</v>
      </c>
      <c r="AP11" s="20">
        <v>1150.0</v>
      </c>
      <c r="AQ11" s="20">
        <v>0.24</v>
      </c>
    </row>
    <row r="12" ht="22.5" customHeight="1">
      <c r="B12" s="15" t="s">
        <v>34</v>
      </c>
      <c r="C12" s="22">
        <f>MINIFS(Tabla_2[Costo_Total],Tabla_2[Instancia],B12,Tabla_2[Configuracion],$C$5)</f>
        <v>24442</v>
      </c>
      <c r="D12" s="23">
        <f>AVERAGEIFS(Tabla_2[Costo_Total],Tabla_2[Instancia],B12,Tabla_2[Configuracion],$C$5)</f>
        <v>24442</v>
      </c>
      <c r="E12" s="23">
        <f>IFERROR(__xludf.DUMMYFUNCTION("STDEV(FILTER(Tabla_2[Costo_Total],Tabla_2[Instancia]=B12,Tabla_2[Configuracion]=$C$5))"),0.0)</f>
        <v>0</v>
      </c>
      <c r="F12" s="24">
        <f>AVERAGEIFS(Tabla_2[Tiempo],Tabla_2[Instancia],B12,Tabla_2[Configuracion],$C$5)</f>
        <v>1.088</v>
      </c>
      <c r="G12" s="22">
        <f>MINIFS(Tabla_2[Costo_Total],Tabla_2[Instancia],$B12,Tabla_2[Configuracion],$G$5)</f>
        <v>24442</v>
      </c>
      <c r="H12" s="23">
        <f>AVERAGEIFS(Tabla_2[Costo_Total],Tabla_2[Instancia],B12,Tabla_2[Configuracion],G$5)</f>
        <v>24442</v>
      </c>
      <c r="I12" s="23">
        <f>IFERROR(__xludf.DUMMYFUNCTION("STDEV(FILTER(Tabla_2[Costo_Total],Tabla_2[Instancia]=$B12,Tabla_2[Configuracion]=$G$5))"),0.0)</f>
        <v>0</v>
      </c>
      <c r="J12" s="24">
        <f>AVERAGEIFS(Tabla_2[Tiempo],Tabla_2[Instancia],$B12,Tabla_2[Configuracion],$G$5)</f>
        <v>1.484</v>
      </c>
      <c r="K12" s="22">
        <f>MINIFS(Tabla_2[Costo_Total],Tabla_2[Instancia],$B12,Tabla_2[Configuracion],$K$5)</f>
        <v>24442</v>
      </c>
      <c r="L12" s="23">
        <f>AVERAGEIFS(Tabla_2[Costo_Total],Tabla_2[Instancia],B12,Tabla_2[Configuracion],K$5)</f>
        <v>24442</v>
      </c>
      <c r="M12" s="23">
        <f>IFERROR(__xludf.DUMMYFUNCTION("STDEV(FILTER(Tabla_2[Costo_Total],Tabla_2[Instancia]=$B12,Tabla_2[Configuracion]=$K$5))"),0.0)</f>
        <v>0</v>
      </c>
      <c r="N12" s="24">
        <f>AVERAGEIFS(Tabla_2[Tiempo],Tabla_2[Instancia],$B12,Tabla_2[Configuracion],$K$5)</f>
        <v>1.046</v>
      </c>
      <c r="O12" s="22">
        <f>MINIFS(Tabla_2[Costo_Total],Tabla_2[Instancia],$B12,Tabla_2[Configuracion],$K$5)</f>
        <v>24442</v>
      </c>
      <c r="P12" s="23">
        <f>AVERAGEIFS(Tabla_2[Costo_Total],Tabla_2[Instancia],B12,Tabla_2[Configuracion],O$5)</f>
        <v>24442</v>
      </c>
      <c r="Q12" s="23">
        <f>IFERROR(__xludf.DUMMYFUNCTION("STDEV(FILTER(Tabla_2[Costo_Total],Tabla_2[Instancia]=$B12,Tabla_2[Configuracion]=$O$5))"),0.0)</f>
        <v>0</v>
      </c>
      <c r="R12" s="24">
        <f>AVERAGEIFS(Tabla_2[Tiempo],Tabla_2[Instancia],$B12,Tabla_2[Configuracion],$O$5)</f>
        <v>1.815</v>
      </c>
      <c r="S12" s="25">
        <f t="shared" si="1"/>
        <v>24442</v>
      </c>
      <c r="T12" s="25">
        <f t="shared" si="2"/>
        <v>24442</v>
      </c>
      <c r="U12" s="19">
        <v>24442.0</v>
      </c>
      <c r="V12" s="26">
        <f t="shared" si="3"/>
        <v>0</v>
      </c>
      <c r="W12" s="25">
        <f t="shared" si="4"/>
        <v>1.815</v>
      </c>
      <c r="X12" s="19">
        <v>6.0</v>
      </c>
      <c r="Y12" s="25">
        <f t="shared" si="5"/>
        <v>1.286</v>
      </c>
      <c r="Z12" s="19">
        <v>6.0</v>
      </c>
      <c r="AA12" s="25">
        <f t="shared" si="6"/>
        <v>1.067</v>
      </c>
      <c r="AB12" s="19">
        <v>6.0</v>
      </c>
      <c r="AC12" s="25">
        <f t="shared" si="7"/>
        <v>1.4305</v>
      </c>
      <c r="AD12" s="19">
        <v>6.0</v>
      </c>
      <c r="AE12" s="25">
        <f t="shared" si="8"/>
        <v>1.6495</v>
      </c>
      <c r="AF12" s="27">
        <f t="shared" si="9"/>
        <v>0.545923149</v>
      </c>
      <c r="AG12" s="27">
        <f t="shared" si="10"/>
        <v>-0.1123639191</v>
      </c>
      <c r="AH12" s="27"/>
      <c r="AJ12" s="20" t="s">
        <v>28</v>
      </c>
      <c r="AK12" s="21">
        <v>1.0</v>
      </c>
      <c r="AL12" s="20" t="s">
        <v>2</v>
      </c>
      <c r="AM12" s="20" t="s">
        <v>29</v>
      </c>
      <c r="AN12" s="21">
        <v>1924.0</v>
      </c>
      <c r="AO12" s="21">
        <v>10.0</v>
      </c>
      <c r="AP12" s="20">
        <v>1150.0</v>
      </c>
      <c r="AQ12" s="20">
        <v>0.24</v>
      </c>
    </row>
    <row r="13" ht="22.5" customHeight="1">
      <c r="B13" s="15" t="s">
        <v>35</v>
      </c>
      <c r="C13" s="22">
        <f>MINIFS(Tabla_2[Costo_Total],Tabla_2[Instancia],B13,Tabla_2[Configuracion],$C$5)</f>
        <v>3974</v>
      </c>
      <c r="D13" s="23">
        <f>AVERAGEIFS(Tabla_2[Costo_Total],Tabla_2[Instancia],B13,Tabla_2[Configuracion],$C$5)</f>
        <v>3974</v>
      </c>
      <c r="E13" s="23">
        <f>IFERROR(__xludf.DUMMYFUNCTION("STDEV(FILTER(Tabla_2[Costo_Total],Tabla_2[Instancia]=B13,Tabla_2[Configuracion]=$C$5))"),0.0)</f>
        <v>0</v>
      </c>
      <c r="F13" s="24">
        <f>AVERAGEIFS(Tabla_2[Tiempo],Tabla_2[Instancia],B13,Tabla_2[Configuracion],$C$5)</f>
        <v>2.278</v>
      </c>
      <c r="G13" s="22">
        <f>MINIFS(Tabla_2[Costo_Total],Tabla_2[Instancia],$B13,Tabla_2[Configuracion],$G$5)</f>
        <v>3974</v>
      </c>
      <c r="H13" s="23">
        <f>AVERAGEIFS(Tabla_2[Costo_Total],Tabla_2[Instancia],B13,Tabla_2[Configuracion],G$5)</f>
        <v>3974</v>
      </c>
      <c r="I13" s="23">
        <f>IFERROR(__xludf.DUMMYFUNCTION("STDEV(FILTER(Tabla_2[Costo_Total],Tabla_2[Instancia]=$B13,Tabla_2[Configuracion]=$G$5))"),0.0)</f>
        <v>0</v>
      </c>
      <c r="J13" s="24">
        <f>AVERAGEIFS(Tabla_2[Tiempo],Tabla_2[Instancia],$B13,Tabla_2[Configuracion],$G$5)</f>
        <v>3.94</v>
      </c>
      <c r="K13" s="22">
        <f>MINIFS(Tabla_2[Costo_Total],Tabla_2[Instancia],$B13,Tabla_2[Configuracion],$K$5)</f>
        <v>3974</v>
      </c>
      <c r="L13" s="23">
        <f>AVERAGEIFS(Tabla_2[Costo_Total],Tabla_2[Instancia],B13,Tabla_2[Configuracion],K$5)</f>
        <v>3974</v>
      </c>
      <c r="M13" s="23">
        <f>IFERROR(__xludf.DUMMYFUNCTION("STDEV(FILTER(Tabla_2[Costo_Total],Tabla_2[Instancia]=$B13,Tabla_2[Configuracion]=$K$5))"),0.0)</f>
        <v>0</v>
      </c>
      <c r="N13" s="24">
        <f>AVERAGEIFS(Tabla_2[Tiempo],Tabla_2[Instancia],$B13,Tabla_2[Configuracion],$K$5)</f>
        <v>2.256</v>
      </c>
      <c r="O13" s="22">
        <f>MINIFS(Tabla_2[Costo_Total],Tabla_2[Instancia],$B13,Tabla_2[Configuracion],$K$5)</f>
        <v>3974</v>
      </c>
      <c r="P13" s="23">
        <f>AVERAGEIFS(Tabla_2[Costo_Total],Tabla_2[Instancia],B13,Tabla_2[Configuracion],O$5)</f>
        <v>3974</v>
      </c>
      <c r="Q13" s="23">
        <f>IFERROR(__xludf.DUMMYFUNCTION("STDEV(FILTER(Tabla_2[Costo_Total],Tabla_2[Instancia]=$B13,Tabla_2[Configuracion]=$O$5))"),0.0)</f>
        <v>0</v>
      </c>
      <c r="R13" s="24">
        <f>AVERAGEIFS(Tabla_2[Tiempo],Tabla_2[Instancia],$B13,Tabla_2[Configuracion],$O$5)</f>
        <v>3.852</v>
      </c>
      <c r="S13" s="25">
        <f t="shared" si="1"/>
        <v>3974</v>
      </c>
      <c r="T13" s="25">
        <f t="shared" si="2"/>
        <v>3974</v>
      </c>
      <c r="U13" s="19">
        <v>4004.0</v>
      </c>
      <c r="V13" s="26">
        <f t="shared" si="3"/>
        <v>0.007492507493</v>
      </c>
      <c r="W13" s="25">
        <f t="shared" si="4"/>
        <v>3.852</v>
      </c>
      <c r="X13" s="19">
        <v>7.0</v>
      </c>
      <c r="Y13" s="25">
        <f t="shared" si="5"/>
        <v>3.109</v>
      </c>
      <c r="Z13" s="19">
        <v>7.0</v>
      </c>
      <c r="AA13" s="25">
        <f t="shared" si="6"/>
        <v>2.267</v>
      </c>
      <c r="AB13" s="19">
        <v>7.0</v>
      </c>
      <c r="AC13" s="25">
        <f t="shared" si="7"/>
        <v>3.054</v>
      </c>
      <c r="AD13" s="19">
        <v>7.0</v>
      </c>
      <c r="AE13" s="25">
        <f t="shared" si="8"/>
        <v>3.896</v>
      </c>
      <c r="AF13" s="27">
        <f t="shared" si="9"/>
        <v>0.7185707984</v>
      </c>
      <c r="AG13" s="27">
        <f t="shared" si="10"/>
        <v>0.01769057575</v>
      </c>
      <c r="AH13" s="27"/>
      <c r="AJ13" s="20" t="s">
        <v>28</v>
      </c>
      <c r="AK13" s="21">
        <v>1.0</v>
      </c>
      <c r="AL13" s="20" t="s">
        <v>4</v>
      </c>
      <c r="AM13" s="20" t="s">
        <v>29</v>
      </c>
      <c r="AN13" s="21">
        <v>1156.0</v>
      </c>
      <c r="AO13" s="21">
        <v>10.0</v>
      </c>
      <c r="AP13" s="20">
        <v>1150.0</v>
      </c>
      <c r="AQ13" s="20">
        <v>0.25</v>
      </c>
    </row>
    <row r="14" ht="22.5" customHeight="1">
      <c r="B14" s="15" t="s">
        <v>36</v>
      </c>
      <c r="C14" s="22">
        <f>MINIFS(Tabla_2[Costo_Total],Tabla_2[Instancia],B14,Tabla_2[Configuracion],$C$5)</f>
        <v>3240</v>
      </c>
      <c r="D14" s="23">
        <f>AVERAGEIFS(Tabla_2[Costo_Total],Tabla_2[Instancia],B14,Tabla_2[Configuracion],$C$5)</f>
        <v>3632.5</v>
      </c>
      <c r="E14" s="23">
        <f>IFERROR(__xludf.DUMMYFUNCTION("STDEV(FILTER(Tabla_2[Costo_Total],Tabla_2[Instancia]=B14,Tabla_2[Configuracion]=$C$5))"),705.992209588746)</f>
        <v>705.9922096</v>
      </c>
      <c r="F14" s="24">
        <f>AVERAGEIFS(Tabla_2[Tiempo],Tabla_2[Instancia],B14,Tabla_2[Configuracion],$C$5)</f>
        <v>12710.03</v>
      </c>
      <c r="G14" s="22">
        <f>MINIFS(Tabla_2[Costo_Total],Tabla_2[Instancia],$B14,Tabla_2[Configuracion],$G$5)</f>
        <v>3240</v>
      </c>
      <c r="H14" s="23">
        <f>AVERAGEIFS(Tabla_2[Costo_Total],Tabla_2[Instancia],B14,Tabla_2[Configuracion],G$5)</f>
        <v>3554</v>
      </c>
      <c r="I14" s="23">
        <f>IFERROR(__xludf.DUMMYFUNCTION("STDEV(FILTER(Tabla_2[Costo_Total],Tabla_2[Instancia]=$B14,Tabla_2[Configuracion]=$G$5))"),636.1053371887396)</f>
        <v>636.1053372</v>
      </c>
      <c r="J14" s="24">
        <f>AVERAGEIFS(Tabla_2[Tiempo],Tabla_2[Instancia],$B14,Tabla_2[Configuracion],$G$5)</f>
        <v>431.16</v>
      </c>
      <c r="K14" s="22">
        <f>MINIFS(Tabla_2[Costo_Total],Tabla_2[Instancia],$B14,Tabla_2[Configuracion],$K$5)</f>
        <v>3240</v>
      </c>
      <c r="L14" s="23">
        <f>AVERAGEIFS(Tabla_2[Costo_Total],Tabla_2[Instancia],B14,Tabla_2[Configuracion],K$5)</f>
        <v>3553</v>
      </c>
      <c r="M14" s="23">
        <f>IFERROR(__xludf.DUMMYFUNCTION("STDEV(FILTER(Tabla_2[Costo_Total],Tabla_2[Instancia]=$B14,Tabla_2[Configuracion]=$K$5))"),483.6447272763575)</f>
        <v>483.6447273</v>
      </c>
      <c r="N14" s="24">
        <f>AVERAGEIFS(Tabla_2[Tiempo],Tabla_2[Instancia],$B14,Tabla_2[Configuracion],$K$5)</f>
        <v>431.103</v>
      </c>
      <c r="O14" s="22">
        <f>MINIFS(Tabla_2[Costo_Total],Tabla_2[Instancia],$B14,Tabla_2[Configuracion],$K$5)</f>
        <v>3240</v>
      </c>
      <c r="P14" s="23">
        <f>AVERAGEIFS(Tabla_2[Costo_Total],Tabla_2[Instancia],B14,Tabla_2[Configuracion],O$5)</f>
        <v>3553</v>
      </c>
      <c r="Q14" s="23">
        <f>IFERROR(__xludf.DUMMYFUNCTION("STDEV(FILTER(Tabla_2[Costo_Total],Tabla_2[Instancia]=$B14,Tabla_2[Configuracion]=$O$5))"),483.6447272763575)</f>
        <v>483.6447273</v>
      </c>
      <c r="R14" s="24">
        <f>AVERAGEIFS(Tabla_2[Tiempo],Tabla_2[Instancia],$B14,Tabla_2[Configuracion],$O$5)</f>
        <v>437.69</v>
      </c>
      <c r="S14" s="25">
        <f t="shared" si="1"/>
        <v>3240</v>
      </c>
      <c r="T14" s="25">
        <f t="shared" si="2"/>
        <v>3553</v>
      </c>
      <c r="U14" s="19">
        <v>4669.0</v>
      </c>
      <c r="V14" s="26">
        <f t="shared" si="3"/>
        <v>0.3060612551</v>
      </c>
      <c r="W14" s="25">
        <f t="shared" si="4"/>
        <v>437.69</v>
      </c>
      <c r="X14" s="19">
        <v>8.0</v>
      </c>
      <c r="Y14" s="25">
        <f t="shared" si="5"/>
        <v>6570.595</v>
      </c>
      <c r="Z14" s="19">
        <v>8.0</v>
      </c>
      <c r="AA14" s="25">
        <f t="shared" si="6"/>
        <v>6570.5665</v>
      </c>
      <c r="AB14" s="19">
        <v>8.0</v>
      </c>
      <c r="AC14" s="25">
        <f t="shared" si="7"/>
        <v>434.3965</v>
      </c>
      <c r="AD14" s="19">
        <v>8.0</v>
      </c>
      <c r="AE14" s="25">
        <f t="shared" si="8"/>
        <v>434.425</v>
      </c>
      <c r="AF14" s="27">
        <f t="shared" si="9"/>
        <v>-0.9338831743</v>
      </c>
      <c r="AG14" s="27">
        <f t="shared" si="10"/>
        <v>0.9338877986</v>
      </c>
      <c r="AH14" s="27"/>
      <c r="AJ14" s="20" t="s">
        <v>28</v>
      </c>
      <c r="AK14" s="21">
        <v>1.0</v>
      </c>
      <c r="AL14" s="20" t="s">
        <v>2</v>
      </c>
      <c r="AM14" s="20" t="s">
        <v>29</v>
      </c>
      <c r="AN14" s="21">
        <v>1156.0</v>
      </c>
      <c r="AO14" s="21">
        <v>10.0</v>
      </c>
      <c r="AP14" s="20">
        <v>1150.0</v>
      </c>
      <c r="AQ14" s="20">
        <v>0.25</v>
      </c>
    </row>
    <row r="15" ht="22.5" customHeight="1">
      <c r="B15" s="15" t="s">
        <v>37</v>
      </c>
      <c r="C15" s="22">
        <f>MINIFS(Tabla_2[Costo_Total],Tabla_2[Instancia],B15,Tabla_2[Configuracion],$C$5)</f>
        <v>10345.02</v>
      </c>
      <c r="D15" s="23">
        <f>AVERAGEIFS(Tabla_2[Costo_Total],Tabla_2[Instancia],B15,Tabla_2[Configuracion],$C$5)</f>
        <v>10520.09</v>
      </c>
      <c r="E15" s="23">
        <f>IFERROR(__xludf.DUMMYFUNCTION("STDEV(FILTER(Tabla_2[Costo_Total],Tabla_2[Instancia]=B15,Tabla_2[Configuracion]=$C$5))"),108.87866893932863)</f>
        <v>108.8786689</v>
      </c>
      <c r="F15" s="24">
        <f>AVERAGEIFS(Tabla_2[Tiempo],Tabla_2[Instancia],B15,Tabla_2[Configuracion],$C$5)</f>
        <v>2387.684</v>
      </c>
      <c r="G15" s="22">
        <f>MINIFS(Tabla_2[Costo_Total],Tabla_2[Instancia],$B15,Tabla_2[Configuracion],$G$5)</f>
        <v>10345.02</v>
      </c>
      <c r="H15" s="23">
        <f>AVERAGEIFS(Tabla_2[Costo_Total],Tabla_2[Instancia],B15,Tabla_2[Configuracion],G$5)</f>
        <v>10520.09</v>
      </c>
      <c r="I15" s="23">
        <f>IFERROR(__xludf.DUMMYFUNCTION("STDEV(FILTER(Tabla_2[Costo_Total],Tabla_2[Instancia]=$B15,Tabla_2[Configuracion]=$G$5))"),108.87866893932888)</f>
        <v>108.8786689</v>
      </c>
      <c r="J15" s="24">
        <f>AVERAGEIFS(Tabla_2[Tiempo],Tabla_2[Instancia],$B15,Tabla_2[Configuracion],$G$5)</f>
        <v>2483.926</v>
      </c>
      <c r="K15" s="22">
        <f>MINIFS(Tabla_2[Costo_Total],Tabla_2[Instancia],$B15,Tabla_2[Configuracion],$K$5)</f>
        <v>10345.02</v>
      </c>
      <c r="L15" s="23">
        <f>AVERAGEIFS(Tabla_2[Costo_Total],Tabla_2[Instancia],B15,Tabla_2[Configuracion],K$5)</f>
        <v>10485.846</v>
      </c>
      <c r="M15" s="23">
        <f>IFERROR(__xludf.DUMMYFUNCTION("STDEV(FILTER(Tabla_2[Costo_Total],Tabla_2[Instancia]=$B15,Tabla_2[Configuracion]=$K$5))"),108.67252235756541)</f>
        <v>108.6725224</v>
      </c>
      <c r="N15" s="24">
        <f>AVERAGEIFS(Tabla_2[Tiempo],Tabla_2[Instancia],$B15,Tabla_2[Configuracion],$K$5)</f>
        <v>2346.304</v>
      </c>
      <c r="O15" s="22">
        <f>MINIFS(Tabla_2[Costo_Total],Tabla_2[Instancia],$B15,Tabla_2[Configuracion],$K$5)</f>
        <v>10345.02</v>
      </c>
      <c r="P15" s="23">
        <f>AVERAGEIFS(Tabla_2[Costo_Total],Tabla_2[Instancia],B15,Tabla_2[Configuracion],O$5)</f>
        <v>10467.99556</v>
      </c>
      <c r="Q15" s="23">
        <f>IFERROR(__xludf.DUMMYFUNCTION("STDEV(FILTER(Tabla_2[Costo_Total],Tabla_2[Instancia]=$B15,Tabla_2[Configuracion]=$O$5))"),98.49492437571449)</f>
        <v>98.49492438</v>
      </c>
      <c r="R15" s="24">
        <f>AVERAGEIFS(Tabla_2[Tiempo],Tabla_2[Instancia],$B15,Tabla_2[Configuracion],$O$5)</f>
        <v>7913.218889</v>
      </c>
      <c r="S15" s="25">
        <f t="shared" si="1"/>
        <v>10345.02</v>
      </c>
      <c r="T15" s="25">
        <f t="shared" si="2"/>
        <v>10467.99556</v>
      </c>
      <c r="U15" s="19">
        <v>17552.9</v>
      </c>
      <c r="V15" s="26">
        <f t="shared" si="3"/>
        <v>0.4106375585</v>
      </c>
      <c r="W15" s="25">
        <f t="shared" si="4"/>
        <v>7913.218889</v>
      </c>
      <c r="X15" s="19">
        <v>9.0</v>
      </c>
      <c r="Y15" s="25">
        <f t="shared" si="5"/>
        <v>2435.805</v>
      </c>
      <c r="Z15" s="19">
        <v>9.0</v>
      </c>
      <c r="AA15" s="25">
        <f t="shared" si="6"/>
        <v>2366.994</v>
      </c>
      <c r="AB15" s="19">
        <v>9.0</v>
      </c>
      <c r="AC15" s="25">
        <f t="shared" si="7"/>
        <v>5129.761444</v>
      </c>
      <c r="AD15" s="19">
        <v>9.0</v>
      </c>
      <c r="AE15" s="25">
        <f t="shared" si="8"/>
        <v>5198.572444</v>
      </c>
      <c r="AF15" s="27">
        <f t="shared" si="9"/>
        <v>1.196276139</v>
      </c>
      <c r="AG15" s="27">
        <f t="shared" si="10"/>
        <v>-1.105981983</v>
      </c>
      <c r="AH15" s="27"/>
      <c r="AJ15" s="20" t="s">
        <v>28</v>
      </c>
      <c r="AK15" s="21">
        <v>1.0</v>
      </c>
      <c r="AL15" s="20" t="s">
        <v>2</v>
      </c>
      <c r="AM15" s="20" t="s">
        <v>29</v>
      </c>
      <c r="AN15" s="21">
        <v>1412.0</v>
      </c>
      <c r="AO15" s="21">
        <v>10.0</v>
      </c>
      <c r="AP15" s="20">
        <v>1150.0</v>
      </c>
      <c r="AQ15" s="20">
        <v>0.25</v>
      </c>
    </row>
    <row r="16" ht="22.5" customHeight="1">
      <c r="B16" s="15" t="s">
        <v>38</v>
      </c>
      <c r="C16" s="22">
        <f>MINIFS(Tabla_2[Costo_Total],Tabla_2[Instancia],B16,Tabla_2[Configuracion],$C$5)</f>
        <v>25843.38</v>
      </c>
      <c r="D16" s="23">
        <f>AVERAGEIFS(Tabla_2[Costo_Total],Tabla_2[Instancia],B16,Tabla_2[Configuracion],$C$5)</f>
        <v>26572.5775</v>
      </c>
      <c r="E16" s="23">
        <f>IFERROR(__xludf.DUMMYFUNCTION("STDEV(FILTER(Tabla_2[Costo_Total],Tabla_2[Instancia]=B16,Tabla_2[Configuracion]=$C$5))"),686.5039414489905)</f>
        <v>686.5039414</v>
      </c>
      <c r="F16" s="24">
        <f>AVERAGEIFS(Tabla_2[Tiempo],Tabla_2[Instancia],B16,Tabla_2[Configuracion],$C$5)</f>
        <v>25916.14</v>
      </c>
      <c r="G16" s="22">
        <f>MINIFS(Tabla_2[Costo_Total],Tabla_2[Instancia],$B16,Tabla_2[Configuracion],$G$5)</f>
        <v>25843.38</v>
      </c>
      <c r="H16" s="23">
        <f>AVERAGEIFS(Tabla_2[Costo_Total],Tabla_2[Instancia],B16,Tabla_2[Configuracion],G$5)</f>
        <v>26509.446</v>
      </c>
      <c r="I16" s="23">
        <f>IFERROR(__xludf.DUMMYFUNCTION("STDEV(FILTER(Tabla_2[Costo_Total],Tabla_2[Instancia]=$B16,Tabla_2[Configuracion]=$G$5))"),611.0594714755674)</f>
        <v>611.0594715</v>
      </c>
      <c r="J16" s="24">
        <f>AVERAGEIFS(Tabla_2[Tiempo],Tabla_2[Instancia],$B16,Tabla_2[Configuracion],$G$5)</f>
        <v>13433.856</v>
      </c>
      <c r="K16" s="22">
        <f>MINIFS(Tabla_2[Costo_Total],Tabla_2[Instancia],$B16,Tabla_2[Configuracion],$K$5)</f>
        <v>25843.38</v>
      </c>
      <c r="L16" s="23">
        <f>AVERAGEIFS(Tabla_2[Costo_Total],Tabla_2[Instancia],B16,Tabla_2[Configuracion],K$5)</f>
        <v>26561.315</v>
      </c>
      <c r="M16" s="23">
        <f>IFERROR(__xludf.DUMMYFUNCTION("STDEV(FILTER(Tabla_2[Costo_Total],Tabla_2[Instancia]=$B16,Tabla_2[Configuracion]=$K$5))"),585.7149072382496)</f>
        <v>585.7149072</v>
      </c>
      <c r="N16" s="24">
        <f>AVERAGEIFS(Tabla_2[Tiempo],Tabla_2[Instancia],$B16,Tabla_2[Configuracion],$K$5)</f>
        <v>13313</v>
      </c>
      <c r="O16" s="22">
        <f>MINIFS(Tabla_2[Costo_Total],Tabla_2[Instancia],$B16,Tabla_2[Configuracion],$K$5)</f>
        <v>25843.38</v>
      </c>
      <c r="P16" s="23">
        <f>AVERAGEIFS(Tabla_2[Costo_Total],Tabla_2[Instancia],B16,Tabla_2[Configuracion],O$5)</f>
        <v>26561.315</v>
      </c>
      <c r="Q16" s="23">
        <f>IFERROR(__xludf.DUMMYFUNCTION("STDEV(FILTER(Tabla_2[Costo_Total],Tabla_2[Instancia]=$B16,Tabla_2[Configuracion]=$O$5))"),585.7149072382499)</f>
        <v>585.7149072</v>
      </c>
      <c r="R16" s="24">
        <f>AVERAGEIFS(Tabla_2[Tiempo],Tabla_2[Instancia],$B16,Tabla_2[Configuracion],$O$5)</f>
        <v>13497.721</v>
      </c>
      <c r="S16" s="25">
        <f t="shared" si="1"/>
        <v>25843.38</v>
      </c>
      <c r="T16" s="25">
        <f t="shared" si="2"/>
        <v>26561.315</v>
      </c>
      <c r="U16" s="19">
        <v>41623.1</v>
      </c>
      <c r="V16" s="26">
        <f t="shared" si="3"/>
        <v>0.3791096771</v>
      </c>
      <c r="W16" s="25">
        <f t="shared" si="4"/>
        <v>13497.721</v>
      </c>
      <c r="X16" s="19">
        <v>10.0</v>
      </c>
      <c r="Y16" s="25">
        <f t="shared" si="5"/>
        <v>19674.998</v>
      </c>
      <c r="Z16" s="19">
        <v>10.0</v>
      </c>
      <c r="AA16" s="25">
        <f t="shared" si="6"/>
        <v>19614.57</v>
      </c>
      <c r="AB16" s="19">
        <v>10.0</v>
      </c>
      <c r="AC16" s="25">
        <f t="shared" si="7"/>
        <v>13405.3605</v>
      </c>
      <c r="AD16" s="19">
        <v>10.0</v>
      </c>
      <c r="AE16" s="25">
        <f t="shared" si="8"/>
        <v>13465.7885</v>
      </c>
      <c r="AF16" s="27">
        <f t="shared" si="9"/>
        <v>-0.3134803108</v>
      </c>
      <c r="AG16" s="27">
        <f t="shared" si="10"/>
        <v>0.318660134</v>
      </c>
      <c r="AH16" s="27"/>
      <c r="AJ16" s="20" t="s">
        <v>28</v>
      </c>
      <c r="AK16" s="21">
        <v>1.0</v>
      </c>
      <c r="AL16" s="20" t="s">
        <v>3</v>
      </c>
      <c r="AM16" s="20" t="s">
        <v>29</v>
      </c>
      <c r="AN16" s="21">
        <v>1412.0</v>
      </c>
      <c r="AO16" s="21">
        <v>20.0</v>
      </c>
      <c r="AP16" s="20">
        <v>1150.0</v>
      </c>
      <c r="AQ16" s="20">
        <v>0.25</v>
      </c>
    </row>
    <row r="17" ht="22.5" customHeight="1">
      <c r="B17" s="15" t="s">
        <v>39</v>
      </c>
      <c r="C17" s="22">
        <f>MINIFS(Tabla_2[Costo_Total],Tabla_2[Instancia],B17,Tabla_2[Configuracion],$C$5)</f>
        <v>22522.46</v>
      </c>
      <c r="D17" s="23">
        <f>AVERAGEIFS(Tabla_2[Costo_Total],Tabla_2[Instancia],B17,Tabla_2[Configuracion],$C$5)</f>
        <v>22711.28</v>
      </c>
      <c r="E17" s="23">
        <f>IFERROR(__xludf.DUMMYFUNCTION("STDEV(FILTER(Tabla_2[Costo_Total],Tabla_2[Instancia]=B17,Tabla_2[Configuracion]=$C$5))"),132.03889067240803)</f>
        <v>132.0388907</v>
      </c>
      <c r="F17" s="24">
        <f>AVERAGEIFS(Tabla_2[Tiempo],Tabla_2[Instancia],B17,Tabla_2[Configuracion],$C$5)</f>
        <v>60617.96</v>
      </c>
      <c r="G17" s="22">
        <f>MINIFS(Tabla_2[Costo_Total],Tabla_2[Instancia],$B17,Tabla_2[Configuracion],$G$5)</f>
        <v>22522.46</v>
      </c>
      <c r="H17" s="23">
        <f>AVERAGEIFS(Tabla_2[Costo_Total],Tabla_2[Instancia],B17,Tabla_2[Configuracion],G$5)</f>
        <v>22711.28</v>
      </c>
      <c r="I17" s="23">
        <f>IFERROR(__xludf.DUMMYFUNCTION("STDEV(FILTER(Tabla_2[Costo_Total],Tabla_2[Instancia]=$B17,Tabla_2[Configuracion]=$G$5))"),132.03889067240772)</f>
        <v>132.0388907</v>
      </c>
      <c r="J17" s="24">
        <f>AVERAGEIFS(Tabla_2[Tiempo],Tabla_2[Instancia],$B17,Tabla_2[Configuracion],$G$5)</f>
        <v>50189.182</v>
      </c>
      <c r="K17" s="22">
        <f>MINIFS(Tabla_2[Costo_Total],Tabla_2[Instancia],$B17,Tabla_2[Configuracion],$K$5)</f>
        <v>22522.46</v>
      </c>
      <c r="L17" s="23">
        <f>AVERAGEIFS(Tabla_2[Costo_Total],Tabla_2[Instancia],B17,Tabla_2[Configuracion],K$5)</f>
        <v>22770.407</v>
      </c>
      <c r="M17" s="23">
        <f>IFERROR(__xludf.DUMMYFUNCTION("STDEV(FILTER(Tabla_2[Costo_Total],Tabla_2[Instancia]=$B17,Tabla_2[Configuracion]=$K$5))"),108.51135128025392)</f>
        <v>108.5113513</v>
      </c>
      <c r="N17" s="24">
        <f>AVERAGEIFS(Tabla_2[Tiempo],Tabla_2[Instancia],$B17,Tabla_2[Configuracion],$K$5)</f>
        <v>60683.393</v>
      </c>
      <c r="O17" s="22">
        <f>MINIFS(Tabla_2[Costo_Total],Tabla_2[Instancia],$B17,Tabla_2[Configuracion],$K$5)</f>
        <v>22522.46</v>
      </c>
      <c r="P17" s="23">
        <f>AVERAGEIFS(Tabla_2[Costo_Total],Tabla_2[Instancia],B17,Tabla_2[Configuracion],O$5)</f>
        <v>22770.407</v>
      </c>
      <c r="Q17" s="23">
        <f>IFERROR(__xludf.DUMMYFUNCTION("STDEV(FILTER(Tabla_2[Costo_Total],Tabla_2[Instancia]=$B17,Tabla_2[Configuracion]=$O$5))"),108.51135128025368)</f>
        <v>108.5113513</v>
      </c>
      <c r="R17" s="24">
        <f>AVERAGEIFS(Tabla_2[Tiempo],Tabla_2[Instancia],$B17,Tabla_2[Configuracion],$O$5)</f>
        <v>59751.211</v>
      </c>
      <c r="S17" s="25">
        <f t="shared" si="1"/>
        <v>22522.46</v>
      </c>
      <c r="T17" s="25">
        <f t="shared" si="2"/>
        <v>22770.407</v>
      </c>
      <c r="U17" s="19">
        <v>33888.4</v>
      </c>
      <c r="V17" s="26">
        <f t="shared" si="3"/>
        <v>0.3353932319</v>
      </c>
      <c r="W17" s="25">
        <f t="shared" si="4"/>
        <v>59751.211</v>
      </c>
      <c r="X17" s="19">
        <v>11.0</v>
      </c>
      <c r="Y17" s="25">
        <f t="shared" si="5"/>
        <v>55403.571</v>
      </c>
      <c r="Z17" s="19">
        <v>11.0</v>
      </c>
      <c r="AA17" s="25">
        <f t="shared" si="6"/>
        <v>60650.6765</v>
      </c>
      <c r="AB17" s="19">
        <v>11.0</v>
      </c>
      <c r="AC17" s="25">
        <f t="shared" si="7"/>
        <v>60217.302</v>
      </c>
      <c r="AD17" s="19">
        <v>11.0</v>
      </c>
      <c r="AE17" s="25">
        <f t="shared" si="8"/>
        <v>54970.1965</v>
      </c>
      <c r="AF17" s="27">
        <f t="shared" si="9"/>
        <v>-0.0936589718</v>
      </c>
      <c r="AG17" s="27">
        <f t="shared" si="10"/>
        <v>-0.0868848508</v>
      </c>
      <c r="AH17" s="27"/>
      <c r="AJ17" s="20" t="s">
        <v>28</v>
      </c>
      <c r="AK17" s="21">
        <v>1.0</v>
      </c>
      <c r="AL17" s="20" t="s">
        <v>3</v>
      </c>
      <c r="AM17" s="20" t="s">
        <v>29</v>
      </c>
      <c r="AN17" s="21">
        <v>1924.0</v>
      </c>
      <c r="AO17" s="21">
        <v>20.0</v>
      </c>
      <c r="AP17" s="20">
        <v>1150.0</v>
      </c>
      <c r="AQ17" s="20">
        <v>0.25</v>
      </c>
    </row>
    <row r="18" ht="22.5" customHeight="1">
      <c r="B18" s="15" t="s">
        <v>40</v>
      </c>
      <c r="C18" s="28">
        <f>MINIFS(Tabla_2[Costo_Total],Tabla_2[Instancia],B18,Tabla_2[Configuracion],$C$5)</f>
        <v>27943.56</v>
      </c>
      <c r="D18" s="29">
        <f>AVERAGEIFS(Tabla_2[Costo_Total],Tabla_2[Instancia],B18,Tabla_2[Configuracion],$C$5)</f>
        <v>27999.798</v>
      </c>
      <c r="E18" s="29">
        <f>IFERROR(__xludf.DUMMYFUNCTION("STDEV(FILTER(Tabla_2[Costo_Total],Tabla_2[Instancia]=B18,Tabla_2[Configuracion]=$C$5))"),51.33803531495934)</f>
        <v>51.33803531</v>
      </c>
      <c r="F18" s="30">
        <f>AVERAGEIFS(Tabla_2[Tiempo],Tabla_2[Instancia],B18,Tabla_2[Configuracion],$C$5)</f>
        <v>185466.248</v>
      </c>
      <c r="G18" s="28">
        <f>MINIFS(Tabla_2[Costo_Total],Tabla_2[Instancia],$B18,Tabla_2[Configuracion],$G$5)</f>
        <v>27943.56</v>
      </c>
      <c r="H18" s="29">
        <f>AVERAGEIFS(Tabla_2[Costo_Total],Tabla_2[Instancia],B18,Tabla_2[Configuracion],G$5)</f>
        <v>27999.798</v>
      </c>
      <c r="I18" s="29">
        <f>IFERROR(__xludf.DUMMYFUNCTION("STDEV(FILTER(Tabla_2[Costo_Total],Tabla_2[Instancia]=$B18,Tabla_2[Configuracion]=$G$5))"),51.338035314959356)</f>
        <v>51.33803531</v>
      </c>
      <c r="J18" s="30">
        <f>AVERAGEIFS(Tabla_2[Tiempo],Tabla_2[Instancia],$B18,Tabla_2[Configuracion],$G$5)</f>
        <v>177508.218</v>
      </c>
      <c r="K18" s="28">
        <f>MINIFS(Tabla_2[Costo_Total],Tabla_2[Instancia],$B18,Tabla_2[Configuracion],$K$5)</f>
        <v>27943.56</v>
      </c>
      <c r="L18" s="29">
        <f>AVERAGEIFS(Tabla_2[Costo_Total],Tabla_2[Instancia],B18,Tabla_2[Configuracion],K$5)</f>
        <v>28009.171</v>
      </c>
      <c r="M18" s="29">
        <f>IFERROR(__xludf.DUMMYFUNCTION("STDEV(FILTER(Tabla_2[Costo_Total],Tabla_2[Instancia]=$B18,Tabla_2[Configuracion]=$K$5))"),45.27589141401103)</f>
        <v>45.27589141</v>
      </c>
      <c r="N18" s="30">
        <f>AVERAGEIFS(Tabla_2[Tiempo],Tabla_2[Instancia],$B18,Tabla_2[Configuracion],$K$5)</f>
        <v>175994.41</v>
      </c>
      <c r="O18" s="28">
        <f>MINIFS(Tabla_2[Costo_Total],Tabla_2[Instancia],$B18,Tabla_2[Configuracion],$K$5)</f>
        <v>27943.56</v>
      </c>
      <c r="P18" s="29">
        <f>AVERAGEIFS(Tabla_2[Costo_Total],Tabla_2[Instancia],B18,Tabla_2[Configuracion],O$5)</f>
        <v>28009.171</v>
      </c>
      <c r="Q18" s="29">
        <f>IFERROR(__xludf.DUMMYFUNCTION("STDEV(FILTER(Tabla_2[Costo_Total],Tabla_2[Instancia]=$B18,Tabla_2[Configuracion]=$O$5))"),45.27589141401166)</f>
        <v>45.27589141</v>
      </c>
      <c r="R18" s="30">
        <f>AVERAGEIFS(Tabla_2[Tiempo],Tabla_2[Instancia],$B18,Tabla_2[Configuracion],$O$5)</f>
        <v>169739.381</v>
      </c>
      <c r="S18" s="25">
        <f t="shared" si="1"/>
        <v>27943.56</v>
      </c>
      <c r="T18" s="25">
        <f t="shared" si="2"/>
        <v>28009.171</v>
      </c>
      <c r="U18" s="19">
        <v>99409.0</v>
      </c>
      <c r="V18" s="26">
        <f t="shared" si="3"/>
        <v>0.7189031174</v>
      </c>
      <c r="W18" s="25">
        <f t="shared" si="4"/>
        <v>169739.381</v>
      </c>
      <c r="X18" s="19">
        <v>12.0</v>
      </c>
      <c r="Y18" s="25">
        <f t="shared" si="5"/>
        <v>181487.233</v>
      </c>
      <c r="Z18" s="19">
        <v>12.0</v>
      </c>
      <c r="AA18" s="25">
        <f t="shared" si="6"/>
        <v>180730.329</v>
      </c>
      <c r="AB18" s="19">
        <v>12.0</v>
      </c>
      <c r="AC18" s="25">
        <f t="shared" si="7"/>
        <v>172866.8955</v>
      </c>
      <c r="AD18" s="19">
        <v>12.0</v>
      </c>
      <c r="AE18" s="25">
        <f t="shared" si="8"/>
        <v>173623.7995</v>
      </c>
      <c r="AF18" s="27">
        <f t="shared" si="9"/>
        <v>-0.03932117835</v>
      </c>
      <c r="AG18" s="27">
        <f t="shared" si="10"/>
        <v>0.04749831356</v>
      </c>
      <c r="AH18" s="27"/>
      <c r="AJ18" s="20" t="s">
        <v>28</v>
      </c>
      <c r="AK18" s="21">
        <v>1.0</v>
      </c>
      <c r="AL18" s="20" t="s">
        <v>3</v>
      </c>
      <c r="AM18" s="20" t="s">
        <v>29</v>
      </c>
      <c r="AN18" s="21">
        <v>2948.0</v>
      </c>
      <c r="AO18" s="21">
        <v>20.0</v>
      </c>
      <c r="AP18" s="20">
        <v>1150.0</v>
      </c>
      <c r="AQ18" s="20">
        <v>0.25</v>
      </c>
    </row>
    <row r="19" ht="22.5" customHeight="1">
      <c r="C19" s="25"/>
      <c r="D19" s="25"/>
      <c r="E19" s="25"/>
      <c r="F19" s="25"/>
      <c r="G19" s="25"/>
      <c r="H19" s="25"/>
      <c r="I19" s="25"/>
      <c r="J19" s="25"/>
      <c r="S19" s="25">
        <f t="shared" ref="S19:W19" si="11">AVERAGE(S7:S18)</f>
        <v>11005.86833</v>
      </c>
      <c r="T19" s="25">
        <f t="shared" si="11"/>
        <v>11141.07405</v>
      </c>
      <c r="U19" s="31">
        <f t="shared" si="11"/>
        <v>20301.86667</v>
      </c>
      <c r="V19" s="27">
        <f t="shared" si="11"/>
        <v>0.2665562139</v>
      </c>
      <c r="W19" s="25">
        <f t="shared" si="11"/>
        <v>20946.45949</v>
      </c>
      <c r="AF19" s="27">
        <f t="shared" ref="AF19:AG19" si="12">AVERAGE(AF7:AF18)</f>
        <v>0.1432999917</v>
      </c>
      <c r="AG19" s="27">
        <f t="shared" si="12"/>
        <v>-0.04345553214</v>
      </c>
      <c r="AJ19" s="20" t="s">
        <v>28</v>
      </c>
      <c r="AK19" s="21">
        <v>1.0</v>
      </c>
      <c r="AL19" s="20" t="s">
        <v>3</v>
      </c>
      <c r="AM19" s="20" t="s">
        <v>29</v>
      </c>
      <c r="AN19" s="21">
        <v>4996.0</v>
      </c>
      <c r="AO19" s="21">
        <v>20.0</v>
      </c>
      <c r="AP19" s="20">
        <v>1150.0</v>
      </c>
      <c r="AQ19" s="20">
        <v>0.25</v>
      </c>
    </row>
    <row r="20" ht="22.5" customHeight="1">
      <c r="B20" s="7" t="s">
        <v>41</v>
      </c>
      <c r="C20" s="8" t="s">
        <v>2</v>
      </c>
      <c r="D20" s="9"/>
      <c r="E20" s="9"/>
      <c r="F20" s="10"/>
      <c r="G20" s="11" t="s">
        <v>3</v>
      </c>
      <c r="H20" s="12"/>
      <c r="I20" s="12"/>
      <c r="J20" s="13"/>
      <c r="K20" s="11" t="s">
        <v>4</v>
      </c>
      <c r="L20" s="12"/>
      <c r="M20" s="12"/>
      <c r="N20" s="13"/>
      <c r="O20" s="11" t="s">
        <v>5</v>
      </c>
      <c r="P20" s="12"/>
      <c r="Q20" s="12"/>
      <c r="R20" s="13"/>
      <c r="AJ20" s="20" t="s">
        <v>28</v>
      </c>
      <c r="AK20" s="21">
        <v>1.0</v>
      </c>
      <c r="AL20" s="20" t="s">
        <v>5</v>
      </c>
      <c r="AM20" s="20" t="s">
        <v>29</v>
      </c>
      <c r="AN20" s="21">
        <v>66436.0</v>
      </c>
      <c r="AO20" s="21">
        <v>20.0</v>
      </c>
      <c r="AP20" s="20">
        <v>1150.0</v>
      </c>
      <c r="AQ20" s="20">
        <v>0.26</v>
      </c>
    </row>
    <row r="21" ht="22.5" customHeight="1">
      <c r="B21" s="32" t="s">
        <v>14</v>
      </c>
      <c r="C21" s="16" t="s">
        <v>15</v>
      </c>
      <c r="D21" s="17" t="s">
        <v>16</v>
      </c>
      <c r="E21" s="17" t="s">
        <v>17</v>
      </c>
      <c r="F21" s="18" t="s">
        <v>18</v>
      </c>
      <c r="G21" s="16" t="s">
        <v>15</v>
      </c>
      <c r="H21" s="17" t="s">
        <v>16</v>
      </c>
      <c r="I21" s="17" t="s">
        <v>17</v>
      </c>
      <c r="J21" s="18" t="s">
        <v>18</v>
      </c>
      <c r="K21" s="16" t="s">
        <v>15</v>
      </c>
      <c r="L21" s="17" t="s">
        <v>16</v>
      </c>
      <c r="M21" s="17" t="s">
        <v>17</v>
      </c>
      <c r="N21" s="18" t="s">
        <v>18</v>
      </c>
      <c r="O21" s="16" t="s">
        <v>15</v>
      </c>
      <c r="P21" s="17" t="s">
        <v>16</v>
      </c>
      <c r="Q21" s="17" t="s">
        <v>17</v>
      </c>
      <c r="R21" s="18" t="s">
        <v>18</v>
      </c>
      <c r="S21" s="19" t="s">
        <v>15</v>
      </c>
      <c r="U21" s="19" t="s">
        <v>42</v>
      </c>
      <c r="AF21" s="19" t="s">
        <v>43</v>
      </c>
      <c r="AG21" s="19" t="s">
        <v>44</v>
      </c>
      <c r="AH21" s="19" t="s">
        <v>45</v>
      </c>
      <c r="AJ21" s="20" t="s">
        <v>28</v>
      </c>
      <c r="AK21" s="21">
        <v>1.0</v>
      </c>
      <c r="AL21" s="20" t="s">
        <v>5</v>
      </c>
      <c r="AM21" s="20" t="s">
        <v>29</v>
      </c>
      <c r="AN21" s="21">
        <v>4996.0</v>
      </c>
      <c r="AO21" s="21">
        <v>20.0</v>
      </c>
      <c r="AP21" s="20">
        <v>1150.0</v>
      </c>
      <c r="AQ21" s="20">
        <v>0.27</v>
      </c>
    </row>
    <row r="22" ht="22.5" customHeight="1">
      <c r="B22" s="33" t="s">
        <v>46</v>
      </c>
      <c r="C22" s="22">
        <f>MINIFS(Tabla_2[Costo_Total],Tabla_2[Instancia],$B22,Tabla_2[Configuracion],$C$5,Tabla_2[Num_Pistas],2)</f>
        <v>177222</v>
      </c>
      <c r="D22" s="23">
        <f>AVERAGEIFS(Tabla_2[Costo_Total],Tabla_2[Instancia],B22,Tabla_2[Configuracion],C$5,Tabla_2[Num_Pistas],2)</f>
        <v>177222</v>
      </c>
      <c r="E22" s="23">
        <f>IFERROR(__xludf.DUMMYFUNCTION("STDEV(FILTER(Tabla_2[Costo_Total],Tabla_2[Instancia]=$B22,Tabla_2[Configuracion]=$C$5,Tabla_2[Num_Pistas]=2))"),0.0)</f>
        <v>0</v>
      </c>
      <c r="F22" s="24">
        <f>AVERAGEIFS(Tabla_2[Tiempo],Tabla_2[Instancia],$B22,Tabla_2[Configuracion],$C$5,Tabla_2[Num_Pistas],2)</f>
        <v>13221.8575</v>
      </c>
      <c r="G22" s="22">
        <f>MINIFS(Tabla_2[Costo_Total],Tabla_2[Instancia],$B22,Tabla_2[Configuracion],$G$5,Tabla_2[Num_Pistas],2)</f>
        <v>177222</v>
      </c>
      <c r="H22" s="23">
        <f>AVERAGEIFS(Tabla_2[Costo_Total],Tabla_2[Instancia],B22,Tabla_2[Configuracion],G$5,Tabla_2[Num_Pistas],2)</f>
        <v>177222</v>
      </c>
      <c r="I22" s="23">
        <f>IFERROR(__xludf.DUMMYFUNCTION("STDEV(FILTER(Tabla_2[Costo_Total],Tabla_2[Instancia]=$B22,Tabla_2[Configuracion]=$G$5,Tabla_2[Num_Pistas]=2))"),0.0)</f>
        <v>0</v>
      </c>
      <c r="J22" s="24">
        <f>AVERAGEIFS(Tabla_2[Tiempo],Tabla_2[Instancia],$B22,Tabla_2[Configuracion],$G$5, Tabla_2[Num_Pistas],2)</f>
        <v>796.064</v>
      </c>
      <c r="K22" s="22">
        <f>MINIFS(Tabla_2[Costo_Total],Tabla_2[Instancia],$B22,Tabla_2[Configuracion],$K$5,Tabla_2[Num_Pistas],2)</f>
        <v>177222</v>
      </c>
      <c r="L22" s="23">
        <f>AVERAGEIFS(Tabla_2[Costo_Total],Tabla_2[Instancia],B22,Tabla_2[Configuracion],K$5,Tabla_2[Num_Pistas],2)</f>
        <v>177222</v>
      </c>
      <c r="M22" s="23">
        <f>IFERROR(__xludf.DUMMYFUNCTION("STDEV(FILTER(Tabla_2[Costo_Total],Tabla_2[Instancia]=$B22,Tabla_2[Configuracion]=$K$5,Tabla_2[Num_Pistas]=2))"),0.0)</f>
        <v>0</v>
      </c>
      <c r="N22" s="24">
        <f>AVERAGEIFS(Tabla_2[Tiempo],Tabla_2[Instancia],$B22,Tabla_2[Configuracion],$K$5,Tabla_2[Num_Pistas],2)</f>
        <v>776.199</v>
      </c>
      <c r="O22" s="22">
        <f>MINIFS(Tabla_2[Costo_Total],Tabla_2[Instancia],$B22,Tabla_2[Configuracion],$O$5,Tabla_2[Num_Pistas],2)</f>
        <v>177222</v>
      </c>
      <c r="P22" s="23">
        <f>AVERAGEIFS(Tabla_2[Costo_Total],Tabla_2[Instancia],B22,Tabla_2[Configuracion],O$5,Tabla_2[Num_Pistas],2)</f>
        <v>177222</v>
      </c>
      <c r="Q22" s="23">
        <f>IFERROR(__xludf.DUMMYFUNCTION("STDEV(FILTER(Tabla_2[Costo_Total],Tabla_2[Instancia]=$B22,Tabla_2[Configuracion]=$O$5,Tabla_2[Num_Pistas]=2))"),0.0)</f>
        <v>0</v>
      </c>
      <c r="R22" s="24">
        <f>AVERAGEIFS(Tabla_2[Tiempo],Tabla_2[Instancia],$B22,Tabla_2[Configuracion],$O$5,Tabla_2[Num_Pistas],2)</f>
        <v>796.249</v>
      </c>
      <c r="S22" s="25">
        <f t="shared" ref="S22:S33" si="13">O22</f>
        <v>177222</v>
      </c>
      <c r="U22" s="27">
        <f t="shared" ref="U22:U33" si="14">(S22-S37)/S22</f>
        <v>0.3928124048</v>
      </c>
      <c r="V22" s="26"/>
      <c r="AF22" s="25">
        <f t="shared" ref="AF22:AF33" si="15">min(C7,G7)</f>
        <v>1150</v>
      </c>
      <c r="AG22" s="25">
        <f t="shared" ref="AG22:AG33" si="16">MIN(K7,O7)</f>
        <v>1150</v>
      </c>
      <c r="AH22" s="31">
        <f t="shared" ref="AH22:AH33" si="17">(AF22-AG22)/AF22</f>
        <v>0</v>
      </c>
      <c r="AJ22" s="20" t="s">
        <v>28</v>
      </c>
      <c r="AK22" s="21">
        <v>1.0</v>
      </c>
      <c r="AL22" s="20" t="s">
        <v>5</v>
      </c>
      <c r="AM22" s="20" t="s">
        <v>29</v>
      </c>
      <c r="AN22" s="21">
        <v>17284.0</v>
      </c>
      <c r="AO22" s="21">
        <v>20.0</v>
      </c>
      <c r="AP22" s="20">
        <v>1150.0</v>
      </c>
      <c r="AQ22" s="20">
        <v>0.27</v>
      </c>
    </row>
    <row r="23" ht="22.5" customHeight="1">
      <c r="B23" s="32" t="s">
        <v>47</v>
      </c>
      <c r="C23" s="22">
        <f>MINIFS(Tabla_2[Costo_Total],Tabla_2[Instancia],$B23,Tabla_2[Configuracion],$C$5,Tabla_2[Num_Pistas],2)</f>
        <v>186436</v>
      </c>
      <c r="D23" s="23">
        <f>AVERAGEIFS(Tabla_2[Costo_Total],Tabla_2[Instancia],B23,Tabla_2[Configuracion],C$5,Tabla_2[Num_Pistas],2)</f>
        <v>186436</v>
      </c>
      <c r="E23" s="23">
        <f>IFERROR(__xludf.DUMMYFUNCTION("STDEV(FILTER(Tabla_2[Costo_Total],Tabla_2[Instancia]=$B23,Tabla_2[Configuracion]=$C$5,Tabla_2[Num_Pistas]=2))"),0.0)</f>
        <v>0</v>
      </c>
      <c r="F23" s="24">
        <f>AVERAGEIFS(Tabla_2[Tiempo],Tabla_2[Instancia],$B23,Tabla_2[Configuracion],$C$5,Tabla_2[Num_Pistas],2)</f>
        <v>790.696</v>
      </c>
      <c r="G23" s="22">
        <f>MINIFS(Tabla_2[Costo_Total],Tabla_2[Instancia],$B23,Tabla_2[Configuracion],$G$5,Tabla_2[Num_Pistas],2)</f>
        <v>186436</v>
      </c>
      <c r="H23" s="23">
        <f>AVERAGEIFS(Tabla_2[Costo_Total],Tabla_2[Instancia],B23,Tabla_2[Configuracion],G$5,Tabla_2[Num_Pistas],2)</f>
        <v>186436</v>
      </c>
      <c r="I23" s="23">
        <f>IFERROR(__xludf.DUMMYFUNCTION("STDEV(FILTER(Tabla_2[Costo_Total],Tabla_2[Instancia]=$B23,Tabla_2[Configuracion]=$G$5,Tabla_2[Num_Pistas]=2))"),0.0)</f>
        <v>0</v>
      </c>
      <c r="J23" s="24">
        <f>AVERAGEIFS(Tabla_2[Tiempo],Tabla_2[Instancia],$B23,Tabla_2[Configuracion],$G$5, Tabla_2[Num_Pistas],2)</f>
        <v>811.662</v>
      </c>
      <c r="K23" s="22">
        <f>MINIFS(Tabla_2[Costo_Total],Tabla_2[Instancia],$B23,Tabla_2[Configuracion],$K$5,Tabla_2[Num_Pistas],2)</f>
        <v>186436</v>
      </c>
      <c r="L23" s="23">
        <f>AVERAGEIFS(Tabla_2[Costo_Total],Tabla_2[Instancia],B23,Tabla_2[Configuracion],K$5,Tabla_2[Num_Pistas],2)</f>
        <v>186436</v>
      </c>
      <c r="M23" s="23">
        <f>IFERROR(__xludf.DUMMYFUNCTION("STDEV(FILTER(Tabla_2[Costo_Total],Tabla_2[Instancia]=$B23,Tabla_2[Configuracion]=$K$5,Tabla_2[Num_Pistas]=2))"),0.0)</f>
        <v>0</v>
      </c>
      <c r="N23" s="24">
        <f>AVERAGEIFS(Tabla_2[Tiempo],Tabla_2[Instancia],$B23,Tabla_2[Configuracion],$K$5,Tabla_2[Num_Pistas],2)</f>
        <v>797.235</v>
      </c>
      <c r="O23" s="22">
        <f>MINIFS(Tabla_2[Costo_Total],Tabla_2[Instancia],$B23,Tabla_2[Configuracion],$O$5,Tabla_2[Num_Pistas],2)</f>
        <v>186436</v>
      </c>
      <c r="P23" s="23">
        <f>AVERAGEIFS(Tabla_2[Costo_Total],Tabla_2[Instancia],B23,Tabla_2[Configuracion],O$5,Tabla_2[Num_Pistas],2)</f>
        <v>186436</v>
      </c>
      <c r="Q23" s="23">
        <f>IFERROR(__xludf.DUMMYFUNCTION("STDEV(FILTER(Tabla_2[Costo_Total],Tabla_2[Instancia]=$B23,Tabla_2[Configuracion]=$O$5,Tabla_2[Num_Pistas]=2))"),0.0)</f>
        <v>0</v>
      </c>
      <c r="R23" s="24">
        <f>AVERAGEIFS(Tabla_2[Tiempo],Tabla_2[Instancia],$B23,Tabla_2[Configuracion],$O$5,Tabla_2[Num_Pistas],2)</f>
        <v>813.074</v>
      </c>
      <c r="S23" s="25">
        <f t="shared" si="13"/>
        <v>186436</v>
      </c>
      <c r="U23" s="27">
        <f t="shared" si="14"/>
        <v>0.3945107168</v>
      </c>
      <c r="V23" s="26"/>
      <c r="AF23" s="25">
        <f t="shared" si="15"/>
        <v>1720</v>
      </c>
      <c r="AG23" s="25">
        <f t="shared" si="16"/>
        <v>1720</v>
      </c>
      <c r="AH23" s="31">
        <f t="shared" si="17"/>
        <v>0</v>
      </c>
      <c r="AJ23" s="20" t="s">
        <v>28</v>
      </c>
      <c r="AK23" s="21">
        <v>1.0</v>
      </c>
      <c r="AL23" s="20" t="s">
        <v>5</v>
      </c>
      <c r="AM23" s="20" t="s">
        <v>29</v>
      </c>
      <c r="AN23" s="21">
        <v>1156.0</v>
      </c>
      <c r="AO23" s="21">
        <v>20.0</v>
      </c>
      <c r="AP23" s="20">
        <v>1150.0</v>
      </c>
      <c r="AQ23" s="20">
        <v>0.28</v>
      </c>
    </row>
    <row r="24" ht="22.5" customHeight="1">
      <c r="B24" s="32" t="s">
        <v>48</v>
      </c>
      <c r="C24" s="22">
        <f>MINIFS(Tabla_2[Costo_Total],Tabla_2[Instancia],$B24,Tabla_2[Configuracion],$C$5,Tabla_2[Num_Pistas],2)</f>
        <v>190342</v>
      </c>
      <c r="D24" s="23">
        <f>AVERAGEIFS(Tabla_2[Costo_Total],Tabla_2[Instancia],B24,Tabla_2[Configuracion],C$5,Tabla_2[Num_Pistas],2)</f>
        <v>190342</v>
      </c>
      <c r="E24" s="23">
        <f>IFERROR(__xludf.DUMMYFUNCTION("STDEV(FILTER(Tabla_2[Costo_Total],Tabla_2[Instancia]=$B24,Tabla_2[Configuracion]=$C$5,Tabla_2[Num_Pistas]=2))"),0.0)</f>
        <v>0</v>
      </c>
      <c r="F24" s="24">
        <f>AVERAGEIFS(Tabla_2[Tiempo],Tabla_2[Instancia],$B24,Tabla_2[Configuracion],$C$5,Tabla_2[Num_Pistas],2)</f>
        <v>758.796</v>
      </c>
      <c r="G24" s="22">
        <f>MINIFS(Tabla_2[Costo_Total],Tabla_2[Instancia],$B24,Tabla_2[Configuracion],$G$5,Tabla_2[Num_Pistas],2)</f>
        <v>190342</v>
      </c>
      <c r="H24" s="23">
        <f>AVERAGEIFS(Tabla_2[Costo_Total],Tabla_2[Instancia],B24,Tabla_2[Configuracion],G$5,Tabla_2[Num_Pistas],2)</f>
        <v>190342</v>
      </c>
      <c r="I24" s="23">
        <f>IFERROR(__xludf.DUMMYFUNCTION("STDEV(FILTER(Tabla_2[Costo_Total],Tabla_2[Instancia]=$B24,Tabla_2[Configuracion]=$G$5,Tabla_2[Num_Pistas]=2))"),0.0)</f>
        <v>0</v>
      </c>
      <c r="J24" s="24">
        <f>AVERAGEIFS(Tabla_2[Tiempo],Tabla_2[Instancia],$B24,Tabla_2[Configuracion],$G$5, Tabla_2[Num_Pistas],2)</f>
        <v>10736.728</v>
      </c>
      <c r="K24" s="22">
        <f>MINIFS(Tabla_2[Costo_Total],Tabla_2[Instancia],$B24,Tabla_2[Configuracion],$K$5,Tabla_2[Num_Pistas],2)</f>
        <v>190342</v>
      </c>
      <c r="L24" s="23">
        <f>AVERAGEIFS(Tabla_2[Costo_Total],Tabla_2[Instancia],B24,Tabla_2[Configuracion],K$5,Tabla_2[Num_Pistas],2)</f>
        <v>190342</v>
      </c>
      <c r="M24" s="23">
        <f>IFERROR(__xludf.DUMMYFUNCTION("STDEV(FILTER(Tabla_2[Costo_Total],Tabla_2[Instancia]=$B24,Tabla_2[Configuracion]=$K$5,Tabla_2[Num_Pistas]=2))"),0.0)</f>
        <v>0</v>
      </c>
      <c r="N24" s="24">
        <f>AVERAGEIFS(Tabla_2[Tiempo],Tabla_2[Instancia],$B24,Tabla_2[Configuracion],$K$5,Tabla_2[Num_Pistas],2)</f>
        <v>6293.917778</v>
      </c>
      <c r="O24" s="22">
        <f>MINIFS(Tabla_2[Costo_Total],Tabla_2[Instancia],$B24,Tabla_2[Configuracion],$O$5,Tabla_2[Num_Pistas],2)</f>
        <v>190342</v>
      </c>
      <c r="P24" s="23">
        <f>AVERAGEIFS(Tabla_2[Costo_Total],Tabla_2[Instancia],B24,Tabla_2[Configuracion],O$5,Tabla_2[Num_Pistas],2)</f>
        <v>190342</v>
      </c>
      <c r="Q24" s="23">
        <f>IFERROR(__xludf.DUMMYFUNCTION("STDEV(FILTER(Tabla_2[Costo_Total],Tabla_2[Instancia]=$B24,Tabla_2[Configuracion]=$O$5,Tabla_2[Num_Pistas]=2))"),0.0)</f>
        <v>0</v>
      </c>
      <c r="R24" s="24">
        <f>AVERAGEIFS(Tabla_2[Tiempo],Tabla_2[Instancia],$B24,Tabla_2[Configuracion],$O$5,Tabla_2[Num_Pistas],2)</f>
        <v>767.528</v>
      </c>
      <c r="S24" s="25">
        <f t="shared" si="13"/>
        <v>190342</v>
      </c>
      <c r="U24" s="27">
        <f t="shared" si="14"/>
        <v>0.4043458617</v>
      </c>
      <c r="V24" s="26"/>
      <c r="AF24" s="25">
        <f t="shared" si="15"/>
        <v>1610</v>
      </c>
      <c r="AG24" s="25">
        <f t="shared" si="16"/>
        <v>1610</v>
      </c>
      <c r="AH24" s="31">
        <f t="shared" si="17"/>
        <v>0</v>
      </c>
      <c r="AJ24" s="20" t="s">
        <v>28</v>
      </c>
      <c r="AK24" s="21">
        <v>1.0</v>
      </c>
      <c r="AL24" s="20" t="s">
        <v>3</v>
      </c>
      <c r="AM24" s="20" t="s">
        <v>29</v>
      </c>
      <c r="AN24" s="21">
        <v>1156.0</v>
      </c>
      <c r="AO24" s="21">
        <v>20.0</v>
      </c>
      <c r="AP24" s="20">
        <v>1150.0</v>
      </c>
      <c r="AQ24" s="20">
        <v>0.28</v>
      </c>
    </row>
    <row r="25" ht="22.5" customHeight="1">
      <c r="B25" s="32" t="s">
        <v>49</v>
      </c>
      <c r="C25" s="22">
        <f>MINIFS(Tabla_2[Costo_Total],Tabla_2[Instancia],$B25,Tabla_2[Configuracion],$C$5,Tabla_2[Num_Pistas],2)</f>
        <v>194645</v>
      </c>
      <c r="D25" s="23">
        <f>AVERAGEIFS(Tabla_2[Costo_Total],Tabla_2[Instancia],B25,Tabla_2[Configuracion],C$5,Tabla_2[Num_Pistas],2)</f>
        <v>194645</v>
      </c>
      <c r="E25" s="23">
        <f>IFERROR(__xludf.DUMMYFUNCTION("STDEV(FILTER(Tabla_2[Costo_Total],Tabla_2[Instancia]=$B25,Tabla_2[Configuracion]=$C$5,Tabla_2[Num_Pistas]=2))"),0.0)</f>
        <v>0</v>
      </c>
      <c r="F25" s="24">
        <f>AVERAGEIFS(Tabla_2[Tiempo],Tabla_2[Instancia],$B25,Tabla_2[Configuracion],$C$5,Tabla_2[Num_Pistas],2)</f>
        <v>10691.432</v>
      </c>
      <c r="G25" s="22">
        <f>MINIFS(Tabla_2[Costo_Total],Tabla_2[Instancia],$B25,Tabla_2[Configuracion],$G$5,Tabla_2[Num_Pistas],2)</f>
        <v>194645</v>
      </c>
      <c r="H25" s="23">
        <f>AVERAGEIFS(Tabla_2[Costo_Total],Tabla_2[Instancia],B25,Tabla_2[Configuracion],G$5,Tabla_2[Num_Pistas],2)</f>
        <v>194645</v>
      </c>
      <c r="I25" s="23">
        <f>IFERROR(__xludf.DUMMYFUNCTION("STDEV(FILTER(Tabla_2[Costo_Total],Tabla_2[Instancia]=$B25,Tabla_2[Configuracion]=$G$5,Tabla_2[Num_Pistas]=2))"),0.0)</f>
        <v>0</v>
      </c>
      <c r="J25" s="24">
        <f>AVERAGEIFS(Tabla_2[Tiempo],Tabla_2[Instancia],$B25,Tabla_2[Configuracion],$G$5, Tabla_2[Num_Pistas],2)</f>
        <v>759.655</v>
      </c>
      <c r="K25" s="22">
        <f>MINIFS(Tabla_2[Costo_Total],Tabla_2[Instancia],$B25,Tabla_2[Configuracion],$K$5,Tabla_2[Num_Pistas],2)</f>
        <v>194645</v>
      </c>
      <c r="L25" s="23">
        <f>AVERAGEIFS(Tabla_2[Costo_Total],Tabla_2[Instancia],B25,Tabla_2[Configuracion],K$5,Tabla_2[Num_Pistas],2)</f>
        <v>194645</v>
      </c>
      <c r="M25" s="23">
        <f>IFERROR(__xludf.DUMMYFUNCTION("STDEV(FILTER(Tabla_2[Costo_Total],Tabla_2[Instancia]=$B25,Tabla_2[Configuracion]=$K$5,Tabla_2[Num_Pistas]=2))"),0.0)</f>
        <v>0</v>
      </c>
      <c r="N25" s="24">
        <f>AVERAGEIFS(Tabla_2[Tiempo],Tabla_2[Instancia],$B25,Tabla_2[Configuracion],$K$5,Tabla_2[Num_Pistas],2)</f>
        <v>720.466</v>
      </c>
      <c r="O25" s="22">
        <f>MINIFS(Tabla_2[Costo_Total],Tabla_2[Instancia],$B25,Tabla_2[Configuracion],$O$5,Tabla_2[Num_Pistas],2)</f>
        <v>194645</v>
      </c>
      <c r="P25" s="23">
        <f>AVERAGEIFS(Tabla_2[Costo_Total],Tabla_2[Instancia],B25,Tabla_2[Configuracion],O$5,Tabla_2[Num_Pistas],2)</f>
        <v>194645</v>
      </c>
      <c r="Q25" s="23">
        <f>IFERROR(__xludf.DUMMYFUNCTION("STDEV(FILTER(Tabla_2[Costo_Total],Tabla_2[Instancia]=$B25,Tabla_2[Configuracion]=$O$5,Tabla_2[Num_Pistas]=2))"),0.0)</f>
        <v>0</v>
      </c>
      <c r="R25" s="24">
        <f>AVERAGEIFS(Tabla_2[Tiempo],Tabla_2[Instancia],$B25,Tabla_2[Configuracion],$O$5,Tabla_2[Num_Pistas],2)</f>
        <v>734.3733333</v>
      </c>
      <c r="S25" s="25">
        <f t="shared" si="13"/>
        <v>194645</v>
      </c>
      <c r="U25" s="27">
        <f t="shared" si="14"/>
        <v>0.3941740091</v>
      </c>
      <c r="V25" s="26"/>
      <c r="AF25" s="25">
        <f t="shared" si="15"/>
        <v>4480</v>
      </c>
      <c r="AG25" s="25">
        <f t="shared" si="16"/>
        <v>4480</v>
      </c>
      <c r="AH25" s="31">
        <f t="shared" si="17"/>
        <v>0</v>
      </c>
      <c r="AJ25" s="20" t="s">
        <v>28</v>
      </c>
      <c r="AK25" s="21">
        <v>1.0</v>
      </c>
      <c r="AL25" s="20" t="s">
        <v>4</v>
      </c>
      <c r="AM25" s="20" t="s">
        <v>29</v>
      </c>
      <c r="AN25" s="21">
        <v>9092.0</v>
      </c>
      <c r="AO25" s="21">
        <v>10.0</v>
      </c>
      <c r="AP25" s="20">
        <v>1150.0</v>
      </c>
      <c r="AQ25" s="20">
        <v>0.29</v>
      </c>
    </row>
    <row r="26" ht="22.5" customHeight="1">
      <c r="B26" s="32" t="s">
        <v>50</v>
      </c>
      <c r="C26" s="22">
        <f>MINIFS(Tabla_2[Costo_Total],Tabla_2[Instancia],$B26,Tabla_2[Configuracion],$C$5,Tabla_2[Num_Pistas],2)</f>
        <v>194365</v>
      </c>
      <c r="D26" s="23">
        <f>AVERAGEIFS(Tabla_2[Costo_Total],Tabla_2[Instancia],B26,Tabla_2[Configuracion],C$5,Tabla_2[Num_Pistas],2)</f>
        <v>194365</v>
      </c>
      <c r="E26" s="23">
        <f>IFERROR(__xludf.DUMMYFUNCTION("STDEV(FILTER(Tabla_2[Costo_Total],Tabla_2[Instancia]=$B26,Tabla_2[Configuracion]=$C$5,Tabla_2[Num_Pistas]=2))"),0.0)</f>
        <v>0</v>
      </c>
      <c r="F26" s="24">
        <f>AVERAGEIFS(Tabla_2[Tiempo],Tabla_2[Instancia],$B26,Tabla_2[Configuracion],$C$5,Tabla_2[Num_Pistas],2)</f>
        <v>693.5575</v>
      </c>
      <c r="G26" s="22">
        <f>MINIFS(Tabla_2[Costo_Total],Tabla_2[Instancia],$B26,Tabla_2[Configuracion],$G$5,Tabla_2[Num_Pistas],2)</f>
        <v>194365</v>
      </c>
      <c r="H26" s="23">
        <f>AVERAGEIFS(Tabla_2[Costo_Total],Tabla_2[Instancia],B26,Tabla_2[Configuracion],G$5,Tabla_2[Num_Pistas],2)</f>
        <v>194365</v>
      </c>
      <c r="I26" s="23">
        <f>IFERROR(__xludf.DUMMYFUNCTION("STDEV(FILTER(Tabla_2[Costo_Total],Tabla_2[Instancia]=$B26,Tabla_2[Configuracion]=$G$5,Tabla_2[Num_Pistas]=2))"),0.0)</f>
        <v>0</v>
      </c>
      <c r="J26" s="24">
        <f>AVERAGEIFS(Tabla_2[Tiempo],Tabla_2[Instancia],$B26,Tabla_2[Configuracion],$G$5, Tabla_2[Num_Pistas],2)</f>
        <v>708.666</v>
      </c>
      <c r="K26" s="22">
        <f>MINIFS(Tabla_2[Costo_Total],Tabla_2[Instancia],$B26,Tabla_2[Configuracion],$K$5,Tabla_2[Num_Pistas],2)</f>
        <v>194365</v>
      </c>
      <c r="L26" s="23">
        <f>AVERAGEIFS(Tabla_2[Costo_Total],Tabla_2[Instancia],B26,Tabla_2[Configuracion],K$5,Tabla_2[Num_Pistas],2)</f>
        <v>194365</v>
      </c>
      <c r="M26" s="23">
        <f>IFERROR(__xludf.DUMMYFUNCTION("STDEV(FILTER(Tabla_2[Costo_Total],Tabla_2[Instancia]=$B26,Tabla_2[Configuracion]=$K$5,Tabla_2[Num_Pistas]=2))"),0.0)</f>
        <v>0</v>
      </c>
      <c r="N26" s="24">
        <f>AVERAGEIFS(Tabla_2[Tiempo],Tabla_2[Instancia],$B26,Tabla_2[Configuracion],$K$5,Tabla_2[Num_Pistas],2)</f>
        <v>686.895</v>
      </c>
      <c r="O26" s="22">
        <f>MINIFS(Tabla_2[Costo_Total],Tabla_2[Instancia],$B26,Tabla_2[Configuracion],$O$5,Tabla_2[Num_Pistas],2)</f>
        <v>194365</v>
      </c>
      <c r="P26" s="23">
        <f>AVERAGEIFS(Tabla_2[Costo_Total],Tabla_2[Instancia],B26,Tabla_2[Configuracion],O$5,Tabla_2[Num_Pistas],2)</f>
        <v>194365</v>
      </c>
      <c r="Q26" s="23">
        <f>IFERROR(__xludf.DUMMYFUNCTION("STDEV(FILTER(Tabla_2[Costo_Total],Tabla_2[Instancia]=$B26,Tabla_2[Configuracion]=$O$5,Tabla_2[Num_Pistas]=2))"),0.0)</f>
        <v>0</v>
      </c>
      <c r="R26" s="24">
        <f>AVERAGEIFS(Tabla_2[Tiempo],Tabla_2[Instancia],$B26,Tabla_2[Configuracion],$O$5,Tabla_2[Num_Pistas],2)</f>
        <v>703.551</v>
      </c>
      <c r="S26" s="25">
        <f t="shared" si="13"/>
        <v>194365</v>
      </c>
      <c r="U26" s="27">
        <f t="shared" si="14"/>
        <v>0.4045327091</v>
      </c>
      <c r="V26" s="26"/>
      <c r="AF26" s="25">
        <f t="shared" si="15"/>
        <v>4800</v>
      </c>
      <c r="AG26" s="25">
        <f t="shared" si="16"/>
        <v>4800</v>
      </c>
      <c r="AH26" s="31">
        <f t="shared" si="17"/>
        <v>0</v>
      </c>
      <c r="AJ26" s="20" t="s">
        <v>28</v>
      </c>
      <c r="AK26" s="21">
        <v>1.0</v>
      </c>
      <c r="AL26" s="20" t="s">
        <v>4</v>
      </c>
      <c r="AM26" s="20" t="s">
        <v>29</v>
      </c>
      <c r="AN26" s="21">
        <v>1924.0</v>
      </c>
      <c r="AO26" s="21">
        <v>10.0</v>
      </c>
      <c r="AP26" s="20">
        <v>1150.0</v>
      </c>
      <c r="AQ26" s="20">
        <v>0.3</v>
      </c>
    </row>
    <row r="27" ht="22.5" customHeight="1">
      <c r="B27" s="32" t="s">
        <v>51</v>
      </c>
      <c r="C27" s="22">
        <f>MINIFS(Tabla_2[Costo_Total],Tabla_2[Instancia],$B27,Tabla_2[Configuracion],$C$5,Tabla_2[Num_Pistas],2)</f>
        <v>178397</v>
      </c>
      <c r="D27" s="23">
        <f>AVERAGEIFS(Tabla_2[Costo_Total],Tabla_2[Instancia],B27,Tabla_2[Configuracion],C$5,Tabla_2[Num_Pistas],2)</f>
        <v>178397</v>
      </c>
      <c r="E27" s="23">
        <f>IFERROR(__xludf.DUMMYFUNCTION("STDEV(FILTER(Tabla_2[Costo_Total],Tabla_2[Instancia]=$B27,Tabla_2[Configuracion]=$C$5,Tabla_2[Num_Pistas]=2))"),0.0)</f>
        <v>0</v>
      </c>
      <c r="F27" s="24">
        <f>AVERAGEIFS(Tabla_2[Tiempo],Tabla_2[Instancia],$B27,Tabla_2[Configuracion],$C$5,Tabla_2[Num_Pistas],2)</f>
        <v>13193.2425</v>
      </c>
      <c r="G27" s="22">
        <f>MINIFS(Tabla_2[Costo_Total],Tabla_2[Instancia],$B27,Tabla_2[Configuracion],$G$5,Tabla_2[Num_Pistas],2)</f>
        <v>178397</v>
      </c>
      <c r="H27" s="23">
        <f>AVERAGEIFS(Tabla_2[Costo_Total],Tabla_2[Instancia],B27,Tabla_2[Configuracion],G$5,Tabla_2[Num_Pistas],2)</f>
        <v>178397</v>
      </c>
      <c r="I27" s="23">
        <f>IFERROR(__xludf.DUMMYFUNCTION("STDEV(FILTER(Tabla_2[Costo_Total],Tabla_2[Instancia]=$B27,Tabla_2[Configuracion]=$G$5,Tabla_2[Num_Pistas]=2))"),0.0)</f>
        <v>0</v>
      </c>
      <c r="J27" s="24">
        <f>AVERAGEIFS(Tabla_2[Tiempo],Tabla_2[Instancia],$B27,Tabla_2[Configuracion],$G$5, Tabla_2[Num_Pistas],2)</f>
        <v>13226.3</v>
      </c>
      <c r="K27" s="22">
        <f>MINIFS(Tabla_2[Costo_Total],Tabla_2[Instancia],$B27,Tabla_2[Configuracion],$K$5,Tabla_2[Num_Pistas],2)</f>
        <v>178397</v>
      </c>
      <c r="L27" s="23">
        <f>AVERAGEIFS(Tabla_2[Costo_Total],Tabla_2[Instancia],B27,Tabla_2[Configuracion],K$5,Tabla_2[Num_Pistas],2)</f>
        <v>178397</v>
      </c>
      <c r="M27" s="23">
        <f>IFERROR(__xludf.DUMMYFUNCTION("STDEV(FILTER(Tabla_2[Costo_Total],Tabla_2[Instancia]=$B27,Tabla_2[Configuracion]=$K$5,Tabla_2[Num_Pistas]=2))"),0.0)</f>
        <v>0</v>
      </c>
      <c r="N27" s="24">
        <f>AVERAGEIFS(Tabla_2[Tiempo],Tabla_2[Instancia],$B27,Tabla_2[Configuracion],$K$5,Tabla_2[Num_Pistas],2)</f>
        <v>6275.165556</v>
      </c>
      <c r="O27" s="22">
        <f>MINIFS(Tabla_2[Costo_Total],Tabla_2[Instancia],$B27,Tabla_2[Configuracion],$O$5,Tabla_2[Num_Pistas],2)</f>
        <v>178397</v>
      </c>
      <c r="P27" s="23">
        <f>AVERAGEIFS(Tabla_2[Costo_Total],Tabla_2[Instancia],B27,Tabla_2[Configuracion],O$5,Tabla_2[Num_Pistas],2)</f>
        <v>178397</v>
      </c>
      <c r="Q27" s="23">
        <f>IFERROR(__xludf.DUMMYFUNCTION("STDEV(FILTER(Tabla_2[Costo_Total],Tabla_2[Instancia]=$B27,Tabla_2[Configuracion]=$O$5,Tabla_2[Num_Pistas]=2))"),0.0)</f>
        <v>0</v>
      </c>
      <c r="R27" s="24">
        <f>AVERAGEIFS(Tabla_2[Tiempo],Tabla_2[Instancia],$B27,Tabla_2[Configuracion],$O$5,Tabla_2[Num_Pistas],2)</f>
        <v>751.77</v>
      </c>
      <c r="S27" s="25">
        <f t="shared" si="13"/>
        <v>178397</v>
      </c>
      <c r="U27" s="27">
        <f t="shared" si="14"/>
        <v>0.3992107491</v>
      </c>
      <c r="V27" s="26"/>
      <c r="AF27" s="25">
        <f t="shared" si="15"/>
        <v>24442</v>
      </c>
      <c r="AG27" s="25">
        <f t="shared" si="16"/>
        <v>24442</v>
      </c>
      <c r="AH27" s="31">
        <f t="shared" si="17"/>
        <v>0</v>
      </c>
      <c r="AJ27" s="20" t="s">
        <v>28</v>
      </c>
      <c r="AK27" s="21">
        <v>1.0</v>
      </c>
      <c r="AL27" s="20" t="s">
        <v>4</v>
      </c>
      <c r="AM27" s="20" t="s">
        <v>29</v>
      </c>
      <c r="AN27" s="21">
        <v>4996.0</v>
      </c>
      <c r="AO27" s="21">
        <v>10.0</v>
      </c>
      <c r="AP27" s="20">
        <v>1150.0</v>
      </c>
      <c r="AQ27" s="20">
        <v>0.3</v>
      </c>
    </row>
    <row r="28" ht="22.5" customHeight="1">
      <c r="B28" s="32" t="s">
        <v>52</v>
      </c>
      <c r="C28" s="22">
        <f>MINIFS(Tabla_2[Costo_Total],Tabla_2[Instancia],$B28,Tabla_2[Configuracion],$C$5,Tabla_2[Num_Pistas],2)</f>
        <v>182076</v>
      </c>
      <c r="D28" s="23">
        <f>AVERAGEIFS(Tabla_2[Costo_Total],Tabla_2[Instancia],B28,Tabla_2[Configuracion],C$5,Tabla_2[Num_Pistas],2)</f>
        <v>182076</v>
      </c>
      <c r="E28" s="23">
        <f>IFERROR(__xludf.DUMMYFUNCTION("STDEV(FILTER(Tabla_2[Costo_Total],Tabla_2[Instancia]=$B28,Tabla_2[Configuracion]=$C$5,Tabla_2[Num_Pistas]=2))"),0.0)</f>
        <v>0</v>
      </c>
      <c r="F28" s="24">
        <f>AVERAGEIFS(Tabla_2[Tiempo],Tabla_2[Instancia],$B28,Tabla_2[Configuracion],$C$5,Tabla_2[Num_Pistas],2)</f>
        <v>785.182</v>
      </c>
      <c r="G28" s="22">
        <f>MINIFS(Tabla_2[Costo_Total],Tabla_2[Instancia],$B28,Tabla_2[Configuracion],$G$5,Tabla_2[Num_Pistas],2)</f>
        <v>182076</v>
      </c>
      <c r="H28" s="23">
        <f>AVERAGEIFS(Tabla_2[Costo_Total],Tabla_2[Instancia],B28,Tabla_2[Configuracion],G$5,Tabla_2[Num_Pistas],2)</f>
        <v>182076</v>
      </c>
      <c r="I28" s="23">
        <f>IFERROR(__xludf.DUMMYFUNCTION("STDEV(FILTER(Tabla_2[Costo_Total],Tabla_2[Instancia]=$B28,Tabla_2[Configuracion]=$G$5,Tabla_2[Num_Pistas]=2))"),0.0)</f>
        <v>0</v>
      </c>
      <c r="J28" s="24">
        <f>AVERAGEIFS(Tabla_2[Tiempo],Tabla_2[Instancia],$B28,Tabla_2[Configuracion],$G$5, Tabla_2[Num_Pistas],2)</f>
        <v>802.53</v>
      </c>
      <c r="K28" s="22">
        <f>MINIFS(Tabla_2[Costo_Total],Tabla_2[Instancia],$B28,Tabla_2[Configuracion],$K$5,Tabla_2[Num_Pistas],2)</f>
        <v>182076</v>
      </c>
      <c r="L28" s="23">
        <f>AVERAGEIFS(Tabla_2[Costo_Total],Tabla_2[Instancia],B28,Tabla_2[Configuracion],K$5,Tabla_2[Num_Pistas],2)</f>
        <v>182076</v>
      </c>
      <c r="M28" s="23">
        <f>IFERROR(__xludf.DUMMYFUNCTION("STDEV(FILTER(Tabla_2[Costo_Total],Tabla_2[Instancia]=$B28,Tabla_2[Configuracion]=$K$5,Tabla_2[Num_Pistas]=2))"),0.0)</f>
        <v>0</v>
      </c>
      <c r="N28" s="24">
        <f>AVERAGEIFS(Tabla_2[Tiempo],Tabla_2[Instancia],$B28,Tabla_2[Configuracion],$K$5,Tabla_2[Num_Pistas],2)</f>
        <v>6301.011111</v>
      </c>
      <c r="O28" s="22">
        <f>MINIFS(Tabla_2[Costo_Total],Tabla_2[Instancia],$B28,Tabla_2[Configuracion],$O$5,Tabla_2[Num_Pistas],2)</f>
        <v>182076</v>
      </c>
      <c r="P28" s="23">
        <f>AVERAGEIFS(Tabla_2[Costo_Total],Tabla_2[Instancia],B28,Tabla_2[Configuracion],O$5,Tabla_2[Num_Pistas],2)</f>
        <v>182076</v>
      </c>
      <c r="Q28" s="23">
        <f>IFERROR(__xludf.DUMMYFUNCTION("STDEV(FILTER(Tabla_2[Costo_Total],Tabla_2[Instancia]=$B28,Tabla_2[Configuracion]=$O$5,Tabla_2[Num_Pistas]=2))"),0.0)</f>
        <v>0</v>
      </c>
      <c r="R28" s="24">
        <f>AVERAGEIFS(Tabla_2[Tiempo],Tabla_2[Instancia],$B28,Tabla_2[Configuracion],$O$5,Tabla_2[Num_Pistas],2)</f>
        <v>796.493</v>
      </c>
      <c r="S28" s="25">
        <f t="shared" si="13"/>
        <v>182076</v>
      </c>
      <c r="U28" s="27">
        <f t="shared" si="14"/>
        <v>0.4022880555</v>
      </c>
      <c r="V28" s="26"/>
      <c r="AF28" s="25">
        <f t="shared" si="15"/>
        <v>3974</v>
      </c>
      <c r="AG28" s="25">
        <f t="shared" si="16"/>
        <v>3974</v>
      </c>
      <c r="AH28" s="31">
        <f t="shared" si="17"/>
        <v>0</v>
      </c>
      <c r="AJ28" s="20" t="s">
        <v>28</v>
      </c>
      <c r="AK28" s="21">
        <v>1.0</v>
      </c>
      <c r="AL28" s="20" t="s">
        <v>5</v>
      </c>
      <c r="AM28" s="20" t="s">
        <v>29</v>
      </c>
      <c r="AN28" s="21">
        <v>1412.0</v>
      </c>
      <c r="AO28" s="21">
        <v>20.0</v>
      </c>
      <c r="AP28" s="20">
        <v>1150.0</v>
      </c>
      <c r="AQ28" s="20">
        <v>0.3</v>
      </c>
    </row>
    <row r="29" ht="22.5" customHeight="1">
      <c r="B29" s="32" t="s">
        <v>53</v>
      </c>
      <c r="C29" s="22">
        <f>MINIFS(Tabla_2[Costo_Total],Tabla_2[Instancia],$B29,Tabla_2[Configuracion],$C$5,Tabla_2[Num_Pistas],2)</f>
        <v>160641</v>
      </c>
      <c r="D29" s="23">
        <f>AVERAGEIFS(Tabla_2[Costo_Total],Tabla_2[Instancia],B29,Tabla_2[Configuracion],C$5,Tabla_2[Num_Pistas],2)</f>
        <v>160641</v>
      </c>
      <c r="E29" s="23">
        <f>IFERROR(__xludf.DUMMYFUNCTION("STDEV(FILTER(Tabla_2[Costo_Total],Tabla_2[Instancia]=$B29,Tabla_2[Configuracion]=$C$5,Tabla_2[Num_Pistas]=2))"),0.0)</f>
        <v>0</v>
      </c>
      <c r="F29" s="24">
        <f>AVERAGEIFS(Tabla_2[Tiempo],Tabla_2[Instancia],$B29,Tabla_2[Configuracion],$C$5,Tabla_2[Num_Pistas],2)</f>
        <v>13299.7525</v>
      </c>
      <c r="G29" s="22">
        <f>MINIFS(Tabla_2[Costo_Total],Tabla_2[Instancia],$B29,Tabla_2[Configuracion],$G$5,Tabla_2[Num_Pistas],2)</f>
        <v>160641</v>
      </c>
      <c r="H29" s="23">
        <f>AVERAGEIFS(Tabla_2[Costo_Total],Tabla_2[Instancia],B29,Tabla_2[Configuracion],G$5,Tabla_2[Num_Pistas],2)</f>
        <v>160641</v>
      </c>
      <c r="I29" s="23">
        <f>IFERROR(__xludf.DUMMYFUNCTION("STDEV(FILTER(Tabla_2[Costo_Total],Tabla_2[Instancia]=$B29,Tabla_2[Configuracion]=$G$5,Tabla_2[Num_Pistas]=2))"),0.0)</f>
        <v>0</v>
      </c>
      <c r="J29" s="24">
        <f>AVERAGEIFS(Tabla_2[Tiempo],Tabla_2[Instancia],$B29,Tabla_2[Configuracion],$G$5, Tabla_2[Num_Pistas],2)</f>
        <v>890.238</v>
      </c>
      <c r="K29" s="22">
        <f>MINIFS(Tabla_2[Costo_Total],Tabla_2[Instancia],$B29,Tabla_2[Configuracion],$K$5,Tabla_2[Num_Pistas],2)</f>
        <v>160641</v>
      </c>
      <c r="L29" s="23">
        <f>AVERAGEIFS(Tabla_2[Costo_Total],Tabla_2[Instancia],B29,Tabla_2[Configuracion],K$5,Tabla_2[Num_Pistas],2)</f>
        <v>160641</v>
      </c>
      <c r="M29" s="23">
        <f>IFERROR(__xludf.DUMMYFUNCTION("STDEV(FILTER(Tabla_2[Costo_Total],Tabla_2[Instancia]=$B29,Tabla_2[Configuracion]=$K$5,Tabla_2[Num_Pistas]=2))"),0.0)</f>
        <v>0</v>
      </c>
      <c r="N29" s="24">
        <f>AVERAGEIFS(Tabla_2[Tiempo],Tabla_2[Instancia],$B29,Tabla_2[Configuracion],$K$5,Tabla_2[Num_Pistas],2)</f>
        <v>844.367</v>
      </c>
      <c r="O29" s="22">
        <f>MINIFS(Tabla_2[Costo_Total],Tabla_2[Instancia],$B29,Tabla_2[Configuracion],$O$5,Tabla_2[Num_Pistas],2)</f>
        <v>160641</v>
      </c>
      <c r="P29" s="23">
        <f>AVERAGEIFS(Tabla_2[Costo_Total],Tabla_2[Instancia],B29,Tabla_2[Configuracion],O$5,Tabla_2[Num_Pistas],2)</f>
        <v>160641</v>
      </c>
      <c r="Q29" s="23">
        <f>IFERROR(__xludf.DUMMYFUNCTION("STDEV(FILTER(Tabla_2[Costo_Total],Tabla_2[Instancia]=$B29,Tabla_2[Configuracion]=$O$5,Tabla_2[Num_Pistas]=2))"),0.0)</f>
        <v>0</v>
      </c>
      <c r="R29" s="24">
        <f>AVERAGEIFS(Tabla_2[Tiempo],Tabla_2[Instancia],$B29,Tabla_2[Configuracion],$O$5,Tabla_2[Num_Pistas],2)</f>
        <v>862.494</v>
      </c>
      <c r="S29" s="25">
        <f t="shared" si="13"/>
        <v>160641</v>
      </c>
      <c r="U29" s="27">
        <f t="shared" si="14"/>
        <v>0.4012798725</v>
      </c>
      <c r="V29" s="26"/>
      <c r="AF29" s="25">
        <f t="shared" si="15"/>
        <v>3240</v>
      </c>
      <c r="AG29" s="25">
        <f t="shared" si="16"/>
        <v>3240</v>
      </c>
      <c r="AH29" s="31">
        <f t="shared" si="17"/>
        <v>0</v>
      </c>
      <c r="AJ29" s="20" t="s">
        <v>28</v>
      </c>
      <c r="AK29" s="21">
        <v>1.0</v>
      </c>
      <c r="AL29" s="20" t="s">
        <v>5</v>
      </c>
      <c r="AM29" s="20" t="s">
        <v>29</v>
      </c>
      <c r="AN29" s="21">
        <v>33668.0</v>
      </c>
      <c r="AO29" s="21">
        <v>20.0</v>
      </c>
      <c r="AP29" s="20">
        <v>1150.0</v>
      </c>
      <c r="AQ29" s="20">
        <v>0.3</v>
      </c>
    </row>
    <row r="30" ht="22.5" customHeight="1">
      <c r="B30" s="32" t="s">
        <v>54</v>
      </c>
      <c r="C30" s="22">
        <f>MINIFS(Tabla_2[Costo_Total],Tabla_2[Instancia],$B30,Tabla_2[Configuracion],$C$5,Tabla_2[Num_Pistas],2)</f>
        <v>179699</v>
      </c>
      <c r="D30" s="23">
        <f>AVERAGEIFS(Tabla_2[Costo_Total],Tabla_2[Instancia],B30,Tabla_2[Configuracion],C$5,Tabla_2[Num_Pistas],2)</f>
        <v>179699</v>
      </c>
      <c r="E30" s="23">
        <f>IFERROR(__xludf.DUMMYFUNCTION("STDEV(FILTER(Tabla_2[Costo_Total],Tabla_2[Instancia]=$B30,Tabla_2[Configuracion]=$C$5,Tabla_2[Num_Pistas]=2))"),0.0)</f>
        <v>0</v>
      </c>
      <c r="F30" s="24">
        <f>AVERAGEIFS(Tabla_2[Tiempo],Tabla_2[Instancia],$B30,Tabla_2[Configuracion],$C$5,Tabla_2[Num_Pistas],2)</f>
        <v>10767.474</v>
      </c>
      <c r="G30" s="22">
        <f>MINIFS(Tabla_2[Costo_Total],Tabla_2[Instancia],$B30,Tabla_2[Configuracion],$G$5,Tabla_2[Num_Pistas],2)</f>
        <v>179699</v>
      </c>
      <c r="H30" s="23">
        <f>AVERAGEIFS(Tabla_2[Costo_Total],Tabla_2[Instancia],B30,Tabla_2[Configuracion],G$5,Tabla_2[Num_Pistas],2)</f>
        <v>179699</v>
      </c>
      <c r="I30" s="23">
        <f>IFERROR(__xludf.DUMMYFUNCTION("STDEV(FILTER(Tabla_2[Costo_Total],Tabla_2[Instancia]=$B30,Tabla_2[Configuracion]=$G$5,Tabla_2[Num_Pistas]=2))"),0.0)</f>
        <v>0</v>
      </c>
      <c r="J30" s="24">
        <f>AVERAGEIFS(Tabla_2[Tiempo],Tabla_2[Instancia],$B30,Tabla_2[Configuracion],$G$5, Tabla_2[Num_Pistas],2)</f>
        <v>836.138</v>
      </c>
      <c r="K30" s="22">
        <f>MINIFS(Tabla_2[Costo_Total],Tabla_2[Instancia],$B30,Tabla_2[Configuracion],$K$5,Tabla_2[Num_Pistas],2)</f>
        <v>179699</v>
      </c>
      <c r="L30" s="23">
        <f>AVERAGEIFS(Tabla_2[Costo_Total],Tabla_2[Instancia],B30,Tabla_2[Configuracion],K$5,Tabla_2[Num_Pistas],2)</f>
        <v>179705</v>
      </c>
      <c r="M30" s="23">
        <f>IFERROR(__xludf.DUMMYFUNCTION("STDEV(FILTER(Tabla_2[Costo_Total],Tabla_2[Instancia]=$B30,Tabla_2[Configuracion]=$K$5,Tabla_2[Num_Pistas]=2))"),9.660917830791892)</f>
        <v>9.660917831</v>
      </c>
      <c r="N30" s="24">
        <f>AVERAGEIFS(Tabla_2[Tiempo],Tabla_2[Instancia],$B30,Tabla_2[Configuracion],$K$5,Tabla_2[Num_Pistas],2)</f>
        <v>791.053</v>
      </c>
      <c r="O30" s="22">
        <f>MINIFS(Tabla_2[Costo_Total],Tabla_2[Instancia],$B30,Tabla_2[Configuracion],$O$5,Tabla_2[Num_Pistas],2)</f>
        <v>179699</v>
      </c>
      <c r="P30" s="23">
        <f>AVERAGEIFS(Tabla_2[Costo_Total],Tabla_2[Instancia],B30,Tabla_2[Configuracion],O$5,Tabla_2[Num_Pistas],2)</f>
        <v>179705.6667</v>
      </c>
      <c r="Q30" s="23">
        <f>IFERROR(__xludf.DUMMYFUNCTION("STDEV(FILTER(Tabla_2[Costo_Total],Tabla_2[Instancia]=$B30,Tabla_2[Configuracion]=$O$5,Tabla_2[Num_Pistas]=2))"),9.999999999997726)</f>
        <v>10</v>
      </c>
      <c r="R30" s="24">
        <f>AVERAGEIFS(Tabla_2[Tiempo],Tabla_2[Instancia],$B30,Tabla_2[Configuracion],$O$5,Tabla_2[Num_Pistas],2)</f>
        <v>11885.68111</v>
      </c>
      <c r="S30" s="25">
        <f t="shared" si="13"/>
        <v>179699</v>
      </c>
      <c r="U30" s="27">
        <f t="shared" si="14"/>
        <v>0.4022226056</v>
      </c>
      <c r="V30" s="26"/>
      <c r="AF30" s="25">
        <f t="shared" si="15"/>
        <v>10345.02</v>
      </c>
      <c r="AG30" s="25">
        <f t="shared" si="16"/>
        <v>10345.02</v>
      </c>
      <c r="AH30" s="31">
        <f t="shared" si="17"/>
        <v>0</v>
      </c>
      <c r="AJ30" s="20" t="s">
        <v>28</v>
      </c>
      <c r="AK30" s="21">
        <v>1.0</v>
      </c>
      <c r="AL30" s="20" t="s">
        <v>4</v>
      </c>
      <c r="AM30" s="20" t="s">
        <v>29</v>
      </c>
      <c r="AN30" s="21">
        <v>131972.0</v>
      </c>
      <c r="AO30" s="21">
        <v>10.0</v>
      </c>
      <c r="AP30" s="20">
        <v>1150.0</v>
      </c>
      <c r="AQ30" s="20">
        <v>0.34</v>
      </c>
    </row>
    <row r="31" ht="22.5" customHeight="1">
      <c r="B31" s="32" t="s">
        <v>55</v>
      </c>
      <c r="C31" s="22">
        <f>MINIFS(Tabla_2[Costo_Total],Tabla_2[Instancia],$B31,Tabla_2[Configuracion],$C$5,Tabla_2[Num_Pistas],2)</f>
        <v>189005</v>
      </c>
      <c r="D31" s="23">
        <f>AVERAGEIFS(Tabla_2[Costo_Total],Tabla_2[Instancia],B31,Tabla_2[Configuracion],C$5,Tabla_2[Num_Pistas],2)</f>
        <v>189005</v>
      </c>
      <c r="E31" s="23">
        <f>IFERROR(__xludf.DUMMYFUNCTION("STDEV(FILTER(Tabla_2[Costo_Total],Tabla_2[Instancia]=$B31,Tabla_2[Configuracion]=$C$5,Tabla_2[Num_Pistas]=2))"),0.0)</f>
        <v>0</v>
      </c>
      <c r="F31" s="24">
        <f>AVERAGEIFS(Tabla_2[Tiempo],Tabla_2[Instancia],$B31,Tabla_2[Configuracion],$C$5,Tabla_2[Num_Pistas],2)</f>
        <v>765.9025</v>
      </c>
      <c r="G31" s="22">
        <f>MINIFS(Tabla_2[Costo_Total],Tabla_2[Instancia],$B31,Tabla_2[Configuracion],$G$5,Tabla_2[Num_Pistas],2)</f>
        <v>189005</v>
      </c>
      <c r="H31" s="23">
        <f>AVERAGEIFS(Tabla_2[Costo_Total],Tabla_2[Instancia],B31,Tabla_2[Configuracion],G$5,Tabla_2[Num_Pistas],2)</f>
        <v>189005</v>
      </c>
      <c r="I31" s="23">
        <f>IFERROR(__xludf.DUMMYFUNCTION("STDEV(FILTER(Tabla_2[Costo_Total],Tabla_2[Instancia]=$B31,Tabla_2[Configuracion]=$G$5,Tabla_2[Num_Pistas]=2))"),0.0)</f>
        <v>0</v>
      </c>
      <c r="J31" s="24">
        <f>AVERAGEIFS(Tabla_2[Tiempo],Tabla_2[Instancia],$B31,Tabla_2[Configuracion],$G$5, Tabla_2[Num_Pistas],2)</f>
        <v>786.178</v>
      </c>
      <c r="K31" s="22">
        <f>MINIFS(Tabla_2[Costo_Total],Tabla_2[Instancia],$B31,Tabla_2[Configuracion],$K$5,Tabla_2[Num_Pistas],2)</f>
        <v>189005</v>
      </c>
      <c r="L31" s="23">
        <f>AVERAGEIFS(Tabla_2[Costo_Total],Tabla_2[Instancia],B31,Tabla_2[Configuracion],K$5,Tabla_2[Num_Pistas],2)</f>
        <v>189005</v>
      </c>
      <c r="M31" s="23">
        <f>IFERROR(__xludf.DUMMYFUNCTION("STDEV(FILTER(Tabla_2[Costo_Total],Tabla_2[Instancia]=$B31,Tabla_2[Configuracion]=$K$5,Tabla_2[Num_Pistas]=2))"),0.0)</f>
        <v>0</v>
      </c>
      <c r="N31" s="24">
        <f>AVERAGEIFS(Tabla_2[Tiempo],Tabla_2[Instancia],$B31,Tabla_2[Configuracion],$K$5,Tabla_2[Num_Pistas],2)</f>
        <v>6289.442222</v>
      </c>
      <c r="O31" s="22">
        <f>MINIFS(Tabla_2[Costo_Total],Tabla_2[Instancia],$B31,Tabla_2[Configuracion],$O$5,Tabla_2[Num_Pistas],2)</f>
        <v>189005</v>
      </c>
      <c r="P31" s="23">
        <f>AVERAGEIFS(Tabla_2[Costo_Total],Tabla_2[Instancia],B31,Tabla_2[Configuracion],O$5,Tabla_2[Num_Pistas],2)</f>
        <v>189005</v>
      </c>
      <c r="Q31" s="23">
        <f>IFERROR(__xludf.DUMMYFUNCTION("STDEV(FILTER(Tabla_2[Costo_Total],Tabla_2[Instancia]=$B31,Tabla_2[Configuracion]=$O$5,Tabla_2[Num_Pistas]=2))"),0.0)</f>
        <v>0</v>
      </c>
      <c r="R31" s="24">
        <f>AVERAGEIFS(Tabla_2[Tiempo],Tabla_2[Instancia],$B31,Tabla_2[Configuracion],$O$5,Tabla_2[Num_Pistas],2)</f>
        <v>779.2477778</v>
      </c>
      <c r="S31" s="25">
        <f t="shared" si="13"/>
        <v>189005</v>
      </c>
      <c r="U31" s="27">
        <f t="shared" si="14"/>
        <v>0.3945662813</v>
      </c>
      <c r="V31" s="26"/>
      <c r="AF31" s="25">
        <f t="shared" si="15"/>
        <v>25843.38</v>
      </c>
      <c r="AG31" s="25">
        <f t="shared" si="16"/>
        <v>25843.38</v>
      </c>
      <c r="AH31" s="31">
        <f t="shared" si="17"/>
        <v>0</v>
      </c>
      <c r="AJ31" s="20" t="s">
        <v>28</v>
      </c>
      <c r="AK31" s="21">
        <v>1.0</v>
      </c>
      <c r="AL31" s="20" t="s">
        <v>5</v>
      </c>
      <c r="AM31" s="20" t="s">
        <v>29</v>
      </c>
      <c r="AN31" s="21">
        <v>9092.0</v>
      </c>
      <c r="AO31" s="21">
        <v>20.0</v>
      </c>
      <c r="AP31" s="20">
        <v>1150.0</v>
      </c>
      <c r="AQ31" s="20">
        <v>0.36</v>
      </c>
    </row>
    <row r="32" ht="22.5" customHeight="1">
      <c r="B32" s="32" t="s">
        <v>56</v>
      </c>
      <c r="C32" s="22">
        <f>MINIFS(Tabla_2[Costo_Total],Tabla_2[Instancia],$B32,Tabla_2[Configuracion],$C$5,Tabla_2[Num_Pistas],2)</f>
        <v>194438</v>
      </c>
      <c r="D32" s="23">
        <f>AVERAGEIFS(Tabla_2[Costo_Total],Tabla_2[Instancia],B32,Tabla_2[Configuracion],C$5,Tabla_2[Num_Pistas],2)</f>
        <v>194438</v>
      </c>
      <c r="E32" s="23">
        <f>IFERROR(__xludf.DUMMYFUNCTION("STDEV(FILTER(Tabla_2[Costo_Total],Tabla_2[Instancia]=$B32,Tabla_2[Configuracion]=$C$5,Tabla_2[Num_Pistas]=2))"),0.0)</f>
        <v>0</v>
      </c>
      <c r="F32" s="24">
        <f>AVERAGEIFS(Tabla_2[Tiempo],Tabla_2[Instancia],$B32,Tabla_2[Configuracion],$C$5,Tabla_2[Num_Pistas],2)</f>
        <v>735.974</v>
      </c>
      <c r="G32" s="22">
        <f>MINIFS(Tabla_2[Costo_Total],Tabla_2[Instancia],$B32,Tabla_2[Configuracion],$G$5,Tabla_2[Num_Pistas],2)</f>
        <v>194438</v>
      </c>
      <c r="H32" s="23">
        <f>AVERAGEIFS(Tabla_2[Costo_Total],Tabla_2[Instancia],B32,Tabla_2[Configuracion],G$5,Tabla_2[Num_Pistas],2)</f>
        <v>194438</v>
      </c>
      <c r="I32" s="23">
        <f>IFERROR(__xludf.DUMMYFUNCTION("STDEV(FILTER(Tabla_2[Costo_Total],Tabla_2[Instancia]=$B32,Tabla_2[Configuracion]=$G$5,Tabla_2[Num_Pistas]=2))"),0.0)</f>
        <v>0</v>
      </c>
      <c r="J32" s="24">
        <f>AVERAGEIFS(Tabla_2[Tiempo],Tabla_2[Instancia],$B32,Tabla_2[Configuracion],$G$5, Tabla_2[Num_Pistas],2)</f>
        <v>757.87</v>
      </c>
      <c r="K32" s="22">
        <f>MINIFS(Tabla_2[Costo_Total],Tabla_2[Instancia],$B32,Tabla_2[Configuracion],$K$5,Tabla_2[Num_Pistas],2)</f>
        <v>194438</v>
      </c>
      <c r="L32" s="23">
        <f>AVERAGEIFS(Tabla_2[Costo_Total],Tabla_2[Instancia],B32,Tabla_2[Configuracion],K$5,Tabla_2[Num_Pistas],2)</f>
        <v>194438</v>
      </c>
      <c r="M32" s="23">
        <f>IFERROR(__xludf.DUMMYFUNCTION("STDEV(FILTER(Tabla_2[Costo_Total],Tabla_2[Instancia]=$B32,Tabla_2[Configuracion]=$K$5,Tabla_2[Num_Pistas]=2))"),0.0)</f>
        <v>0</v>
      </c>
      <c r="N32" s="24">
        <f>AVERAGEIFS(Tabla_2[Tiempo],Tabla_2[Instancia],$B32,Tabla_2[Configuracion],$K$5,Tabla_2[Num_Pistas],2)</f>
        <v>739.104</v>
      </c>
      <c r="O32" s="22">
        <f>MINIFS(Tabla_2[Costo_Total],Tabla_2[Instancia],$B32,Tabla_2[Configuracion],$O$5,Tabla_2[Num_Pistas],2)</f>
        <v>194438</v>
      </c>
      <c r="P32" s="23">
        <f>AVERAGEIFS(Tabla_2[Costo_Total],Tabla_2[Instancia],B32,Tabla_2[Configuracion],O$5,Tabla_2[Num_Pistas],2)</f>
        <v>194438</v>
      </c>
      <c r="Q32" s="23">
        <f>IFERROR(__xludf.DUMMYFUNCTION("STDEV(FILTER(Tabla_2[Costo_Total],Tabla_2[Instancia]=$B32,Tabla_2[Configuracion]=$O$5,Tabla_2[Num_Pistas]=2))"),0.0)</f>
        <v>0</v>
      </c>
      <c r="R32" s="24">
        <f>AVERAGEIFS(Tabla_2[Tiempo],Tabla_2[Instancia],$B32,Tabla_2[Configuracion],$O$5,Tabla_2[Num_Pistas],2)</f>
        <v>6294.237778</v>
      </c>
      <c r="S32" s="25">
        <f t="shared" si="13"/>
        <v>194438</v>
      </c>
      <c r="U32" s="27">
        <f t="shared" si="14"/>
        <v>0.4041185365</v>
      </c>
      <c r="V32" s="26"/>
      <c r="AF32" s="25">
        <f t="shared" si="15"/>
        <v>22522.46</v>
      </c>
      <c r="AG32" s="25">
        <f t="shared" si="16"/>
        <v>22522.46</v>
      </c>
      <c r="AH32" s="31">
        <f t="shared" si="17"/>
        <v>0</v>
      </c>
      <c r="AJ32" s="20" t="s">
        <v>28</v>
      </c>
      <c r="AK32" s="21">
        <v>1.0</v>
      </c>
      <c r="AL32" s="20" t="s">
        <v>5</v>
      </c>
      <c r="AM32" s="20" t="s">
        <v>29</v>
      </c>
      <c r="AN32" s="21">
        <v>2948.0</v>
      </c>
      <c r="AO32" s="21">
        <v>20.0</v>
      </c>
      <c r="AP32" s="20">
        <v>1150.0</v>
      </c>
      <c r="AQ32" s="20">
        <v>0.37</v>
      </c>
    </row>
    <row r="33" ht="22.5" customHeight="1">
      <c r="B33" s="32" t="s">
        <v>57</v>
      </c>
      <c r="C33" s="28">
        <f>MINIFS(Tabla_2[Costo_Total],Tabla_2[Instancia],$B33,Tabla_2[Configuracion],$C$5,Tabla_2[Num_Pistas],2)</f>
        <v>211461</v>
      </c>
      <c r="D33" s="29">
        <f>AVERAGEIFS(Tabla_2[Costo_Total],Tabla_2[Instancia],B33,Tabla_2[Configuracion],C$5,Tabla_2[Num_Pistas],2)</f>
        <v>211461</v>
      </c>
      <c r="E33" s="29">
        <f>IFERROR(__xludf.DUMMYFUNCTION("STDEV(FILTER(Tabla_2[Costo_Total],Tabla_2[Instancia]=$B33,Tabla_2[Configuracion]=$C$5,Tabla_2[Num_Pistas]=2))"),0.0)</f>
        <v>0</v>
      </c>
      <c r="F33" s="30">
        <f>AVERAGEIFS(Tabla_2[Tiempo],Tabla_2[Instancia],$B33,Tabla_2[Configuracion],$C$5,Tabla_2[Num_Pistas],2)</f>
        <v>13187.6275</v>
      </c>
      <c r="G33" s="22">
        <f>MINIFS(Tabla_2[Costo_Total],Tabla_2[Instancia],$B33,Tabla_2[Configuracion],$G$5,Tabla_2[Num_Pistas],2)</f>
        <v>211461</v>
      </c>
      <c r="H33" s="23">
        <f>AVERAGEIFS(Tabla_2[Costo_Total],Tabla_2[Instancia],B33,Tabla_2[Configuracion],G$5,Tabla_2[Num_Pistas],2)</f>
        <v>211461</v>
      </c>
      <c r="I33" s="23">
        <f>IFERROR(__xludf.DUMMYFUNCTION("STDEV(FILTER(Tabla_2[Costo_Total],Tabla_2[Instancia]=$B33,Tabla_2[Configuracion]=$G$5,Tabla_2[Num_Pistas]=2))"),0.0)</f>
        <v>0</v>
      </c>
      <c r="J33" s="24">
        <f>AVERAGEIFS(Tabla_2[Tiempo],Tabla_2[Instancia],$B33,Tabla_2[Configuracion],$G$5, Tabla_2[Num_Pistas],2)</f>
        <v>13220.7725</v>
      </c>
      <c r="K33" s="28">
        <f>MINIFS(Tabla_2[Costo_Total],Tabla_2[Instancia],$B33,Tabla_2[Configuracion],$K$5,Tabla_2[Num_Pistas],2)</f>
        <v>211461</v>
      </c>
      <c r="L33" s="29">
        <f>AVERAGEIFS(Tabla_2[Costo_Total],Tabla_2[Instancia],B33,Tabla_2[Configuracion],K$5,Tabla_2[Num_Pistas],2)</f>
        <v>211461</v>
      </c>
      <c r="M33" s="29">
        <f>IFERROR(__xludf.DUMMYFUNCTION("STDEV(FILTER(Tabla_2[Costo_Total],Tabla_2[Instancia]=$B33,Tabla_2[Configuracion]=$K$5,Tabla_2[Num_Pistas]=2))"),0.0)</f>
        <v>0</v>
      </c>
      <c r="N33" s="30">
        <f>AVERAGEIFS(Tabla_2[Tiempo],Tabla_2[Instancia],$B33,Tabla_2[Configuracion],$K$5,Tabla_2[Num_Pistas],2)</f>
        <v>5720.46</v>
      </c>
      <c r="O33" s="22">
        <f>MINIFS(Tabla_2[Costo_Total],Tabla_2[Instancia],$B33,Tabla_2[Configuracion],$O$5,Tabla_2[Num_Pistas],2)</f>
        <v>211461</v>
      </c>
      <c r="P33" s="23">
        <f>AVERAGEIFS(Tabla_2[Costo_Total],Tabla_2[Instancia],B33,Tabla_2[Configuracion],O$5,Tabla_2[Num_Pistas],2)</f>
        <v>211461</v>
      </c>
      <c r="Q33" s="23">
        <f>IFERROR(__xludf.DUMMYFUNCTION("STDEV(FILTER(Tabla_2[Costo_Total],Tabla_2[Instancia]=$B33,Tabla_2[Configuracion]=$O$5,Tabla_2[Num_Pistas]=2))"),0.0)</f>
        <v>0</v>
      </c>
      <c r="R33" s="24">
        <f>AVERAGEIFS(Tabla_2[Tiempo],Tabla_2[Instancia],$B33,Tabla_2[Configuracion],$O$5,Tabla_2[Num_Pistas],2)</f>
        <v>758.001</v>
      </c>
      <c r="S33" s="25">
        <f t="shared" si="13"/>
        <v>211461</v>
      </c>
      <c r="U33" s="27">
        <f t="shared" si="14"/>
        <v>0.4148519112</v>
      </c>
      <c r="V33" s="26"/>
      <c r="AF33" s="25">
        <f t="shared" si="15"/>
        <v>27943.56</v>
      </c>
      <c r="AG33" s="25">
        <f t="shared" si="16"/>
        <v>27943.56</v>
      </c>
      <c r="AH33" s="31">
        <f t="shared" si="17"/>
        <v>0</v>
      </c>
      <c r="AJ33" s="20" t="s">
        <v>28</v>
      </c>
      <c r="AK33" s="21">
        <v>1.0</v>
      </c>
      <c r="AL33" s="20" t="s">
        <v>5</v>
      </c>
      <c r="AM33" s="20" t="s">
        <v>29</v>
      </c>
      <c r="AN33" s="21">
        <v>131972.0</v>
      </c>
      <c r="AO33" s="21">
        <v>20.0</v>
      </c>
      <c r="AP33" s="20">
        <v>1150.0</v>
      </c>
      <c r="AQ33" s="20">
        <v>0.37</v>
      </c>
    </row>
    <row r="34" ht="22.5" customHeight="1">
      <c r="U34" s="26">
        <f>AVERAGE(U22:U33)</f>
        <v>0.4007428094</v>
      </c>
      <c r="AJ34" s="20" t="s">
        <v>28</v>
      </c>
      <c r="AK34" s="21">
        <v>1.0</v>
      </c>
      <c r="AL34" s="20" t="s">
        <v>4</v>
      </c>
      <c r="AM34" s="20" t="s">
        <v>29</v>
      </c>
      <c r="AN34" s="21">
        <v>1412.0</v>
      </c>
      <c r="AO34" s="21">
        <v>10.0</v>
      </c>
      <c r="AP34" s="20">
        <v>1150.0</v>
      </c>
      <c r="AQ34" s="20">
        <v>0.39</v>
      </c>
    </row>
    <row r="35" ht="22.5" customHeight="1">
      <c r="B35" s="7" t="s">
        <v>58</v>
      </c>
      <c r="C35" s="8" t="s">
        <v>2</v>
      </c>
      <c r="D35" s="9"/>
      <c r="E35" s="9"/>
      <c r="F35" s="10"/>
      <c r="G35" s="11" t="s">
        <v>3</v>
      </c>
      <c r="H35" s="12"/>
      <c r="I35" s="12"/>
      <c r="J35" s="13"/>
      <c r="K35" s="11" t="s">
        <v>4</v>
      </c>
      <c r="L35" s="12"/>
      <c r="M35" s="12"/>
      <c r="N35" s="13"/>
      <c r="O35" s="11" t="s">
        <v>5</v>
      </c>
      <c r="P35" s="12"/>
      <c r="Q35" s="12"/>
      <c r="R35" s="13"/>
      <c r="AF35" s="19" t="s">
        <v>59</v>
      </c>
      <c r="AG35" s="19" t="s">
        <v>60</v>
      </c>
      <c r="AH35" s="19" t="s">
        <v>45</v>
      </c>
      <c r="AJ35" s="20" t="s">
        <v>28</v>
      </c>
      <c r="AK35" s="21">
        <v>1.0</v>
      </c>
      <c r="AL35" s="20" t="s">
        <v>5</v>
      </c>
      <c r="AM35" s="20" t="s">
        <v>29</v>
      </c>
      <c r="AN35" s="21">
        <v>1924.0</v>
      </c>
      <c r="AO35" s="21">
        <v>20.0</v>
      </c>
      <c r="AP35" s="20">
        <v>1150.0</v>
      </c>
      <c r="AQ35" s="20">
        <v>0.43</v>
      </c>
    </row>
    <row r="36" ht="22.5" customHeight="1">
      <c r="B36" s="32" t="s">
        <v>14</v>
      </c>
      <c r="C36" s="16" t="s">
        <v>15</v>
      </c>
      <c r="D36" s="17" t="s">
        <v>16</v>
      </c>
      <c r="E36" s="17" t="s">
        <v>17</v>
      </c>
      <c r="F36" s="18" t="s">
        <v>18</v>
      </c>
      <c r="G36" s="16" t="s">
        <v>15</v>
      </c>
      <c r="H36" s="17" t="s">
        <v>16</v>
      </c>
      <c r="I36" s="17" t="s">
        <v>17</v>
      </c>
      <c r="J36" s="18" t="s">
        <v>18</v>
      </c>
      <c r="K36" s="16" t="s">
        <v>15</v>
      </c>
      <c r="L36" s="17" t="s">
        <v>16</v>
      </c>
      <c r="M36" s="17" t="s">
        <v>17</v>
      </c>
      <c r="N36" s="18" t="s">
        <v>18</v>
      </c>
      <c r="O36" s="16" t="s">
        <v>15</v>
      </c>
      <c r="P36" s="17" t="s">
        <v>16</v>
      </c>
      <c r="Q36" s="17" t="s">
        <v>17</v>
      </c>
      <c r="R36" s="18" t="s">
        <v>18</v>
      </c>
      <c r="S36" s="19" t="s">
        <v>15</v>
      </c>
      <c r="U36" s="19" t="s">
        <v>61</v>
      </c>
      <c r="AF36" s="25">
        <f t="shared" ref="AF36:AF47" si="18">min(C7,K7)</f>
        <v>1150</v>
      </c>
      <c r="AG36" s="25">
        <f t="shared" ref="AG36:AG47" si="19">min(G7,O7)</f>
        <v>1150</v>
      </c>
      <c r="AH36" s="31">
        <f t="shared" ref="AH36:AH47" si="20">(AF36-AG36)/AF36</f>
        <v>0</v>
      </c>
      <c r="AJ36" s="20" t="s">
        <v>28</v>
      </c>
      <c r="AK36" s="21">
        <v>1.0</v>
      </c>
      <c r="AL36" s="20" t="s">
        <v>4</v>
      </c>
      <c r="AM36" s="20" t="s">
        <v>30</v>
      </c>
      <c r="AN36" s="21">
        <v>17284.0</v>
      </c>
      <c r="AO36" s="21">
        <v>10.0</v>
      </c>
      <c r="AP36" s="20">
        <v>2030.0</v>
      </c>
      <c r="AQ36" s="20">
        <v>0.52</v>
      </c>
    </row>
    <row r="37" ht="22.5" customHeight="1">
      <c r="B37" s="33" t="s">
        <v>46</v>
      </c>
      <c r="C37" s="22">
        <f>MINIFS(Tabla_2[Costo_Total],Tabla_2[Instancia],$B37,Tabla_2[Configuracion],$C$5,Tabla_2[Num_Pistas],3)</f>
        <v>107607</v>
      </c>
      <c r="D37" s="23">
        <f>AVERAGEIFS(Tabla_2[Costo_Total],Tabla_2[Instancia],B37,Tabla_2[Configuracion],C$5,Tabla_2[Num_Pistas],3)</f>
        <v>107608</v>
      </c>
      <c r="E37" s="23">
        <f>IFERROR(__xludf.DUMMYFUNCTION("STDEV(FILTER(Tabla_2[Costo_Total],Tabla_2[Instancia]=$B37,Tabla_2[Configuracion]=$C$5,Tabla_2[Num_Pistas]=3))"),2.2360679775008063)</f>
        <v>2.236067978</v>
      </c>
      <c r="F37" s="24">
        <f>AVERAGEIFS(Tabla_2[Tiempo],Tabla_2[Instancia],$B37,Tabla_2[Configuracion],$C$5,Tabla_2[Num_Pistas],3)</f>
        <v>924.902</v>
      </c>
      <c r="G37" s="22">
        <f>MINIFS(Tabla_2[Costo_Total],Tabla_2[Instancia],$B37,Tabla_2[Configuracion],$G$5,Tabla_2[Num_Pistas],3)</f>
        <v>107607</v>
      </c>
      <c r="H37" s="23">
        <f>AVERAGEIFS(Tabla_2[Costo_Total],Tabla_2[Instancia],B37,Tabla_2[Configuracion],G$5,Tabla_2[Num_Pistas],3)</f>
        <v>107608</v>
      </c>
      <c r="I37" s="23">
        <f>IFERROR(__xludf.DUMMYFUNCTION("STDEV(FILTER(Tabla_2[Costo_Total],Tabla_2[Instancia]=$B37,Tabla_2[Configuracion]=$G$5,Tabla_2[Num_Pistas]=3))"),2.2360679775008063)</f>
        <v>2.236067978</v>
      </c>
      <c r="J37" s="24">
        <f>AVERAGEIFS(Tabla_2[Tiempo],Tabla_2[Instancia],$B37,Tabla_2[Configuracion],$G$5, Tabla_2[Num_Pistas],3)</f>
        <v>945.81</v>
      </c>
      <c r="K37" s="22">
        <f>MINIFS(Tabla_2[Costo_Total],Tabla_2[Instancia],$B37,Tabla_2[Configuracion],$K$5,Tabla_2[Num_Pistas],3)</f>
        <v>107607</v>
      </c>
      <c r="L37" s="23">
        <f>AVERAGEIFS(Tabla_2[Costo_Total],Tabla_2[Instancia],B37,Tabla_2[Configuracion],K$5,Tabla_2[Num_Pistas],3)</f>
        <v>107607.5</v>
      </c>
      <c r="M37" s="23">
        <f>IFERROR(__xludf.DUMMYFUNCTION("STDEV(FILTER(Tabla_2[Costo_Total],Tabla_2[Instancia]=$B37,Tabla_2[Configuracion]=$K$5,Tabla_2[Num_Pistas]=3))"),1.5811388300830351)</f>
        <v>1.58113883</v>
      </c>
      <c r="N37" s="24">
        <f>AVERAGEIFS(Tabla_2[Tiempo],Tabla_2[Instancia],$B37,Tabla_2[Configuracion],$K$5,Tabla_2[Num_Pistas],3)</f>
        <v>939.997</v>
      </c>
      <c r="O37" s="22">
        <f>MINIFS(Tabla_2[Costo_Total],Tabla_2[Instancia],$B37,Tabla_2[Configuracion],$O$5,Tabla_2[Num_Pistas],3)</f>
        <v>107607</v>
      </c>
      <c r="P37" s="23">
        <f>AVERAGEIFS(Tabla_2[Costo_Total],Tabla_2[Instancia],B37,Tabla_2[Configuracion],O$5,Tabla_2[Num_Pistas],3)</f>
        <v>107607.625</v>
      </c>
      <c r="Q37" s="23">
        <f>IFERROR(__xludf.DUMMYFUNCTION("STDEV(FILTER(Tabla_2[Costo_Total],Tabla_2[Instancia]=$B37,Tabla_2[Configuracion]=$O$5,Tabla_2[Num_Pistas]=3))"),1.7677669529657354)</f>
        <v>1.767766953</v>
      </c>
      <c r="R37" s="24">
        <f>AVERAGEIFS(Tabla_2[Tiempo],Tabla_2[Instancia],$B37,Tabla_2[Configuracion],$O$5,Tabla_2[Num_Pistas],3)</f>
        <v>13413.49875</v>
      </c>
      <c r="S37" s="25">
        <f t="shared" ref="S37:S48" si="21">O37</f>
        <v>107607</v>
      </c>
      <c r="U37" s="27">
        <f t="shared" ref="U37:U48" si="22">(S37-S52)/S37</f>
        <v>0.3204252511</v>
      </c>
      <c r="AF37" s="25">
        <f t="shared" si="18"/>
        <v>1720</v>
      </c>
      <c r="AG37" s="25">
        <f t="shared" si="19"/>
        <v>1720</v>
      </c>
      <c r="AH37" s="31">
        <f t="shared" si="20"/>
        <v>0</v>
      </c>
      <c r="AJ37" s="20" t="s">
        <v>28</v>
      </c>
      <c r="AK37" s="21">
        <v>1.0</v>
      </c>
      <c r="AL37" s="20" t="s">
        <v>4</v>
      </c>
      <c r="AM37" s="20" t="s">
        <v>30</v>
      </c>
      <c r="AN37" s="21">
        <v>66436.0</v>
      </c>
      <c r="AO37" s="21">
        <v>10.0</v>
      </c>
      <c r="AP37" s="20">
        <v>2030.0</v>
      </c>
      <c r="AQ37" s="20">
        <v>0.53</v>
      </c>
    </row>
    <row r="38" ht="22.5" customHeight="1">
      <c r="B38" s="32" t="s">
        <v>47</v>
      </c>
      <c r="C38" s="22">
        <f>MINIFS(Tabla_2[Costo_Total],Tabla_2[Instancia],$B38,Tabla_2[Configuracion],$C$5,Tabla_2[Num_Pistas],3)</f>
        <v>112885</v>
      </c>
      <c r="D38" s="23">
        <f>AVERAGEIFS(Tabla_2[Costo_Total],Tabla_2[Instancia],B38,Tabla_2[Configuracion],C$5,Tabla_2[Num_Pistas],3)</f>
        <v>112885</v>
      </c>
      <c r="E38" s="23">
        <f>IFERROR(__xludf.DUMMYFUNCTION("STDEV(FILTER(Tabla_2[Costo_Total],Tabla_2[Instancia]=$B38,Tabla_2[Configuracion]=$C$5,Tabla_2[Num_Pistas]=3))"),0.0)</f>
        <v>0</v>
      </c>
      <c r="F38" s="24">
        <f>AVERAGEIFS(Tabla_2[Tiempo],Tabla_2[Instancia],$B38,Tabla_2[Configuracion],$C$5,Tabla_2[Num_Pistas],3)</f>
        <v>957.386</v>
      </c>
      <c r="G38" s="22">
        <f>MINIFS(Tabla_2[Costo_Total],Tabla_2[Instancia],$B38,Tabla_2[Configuracion],$G$5,Tabla_2[Num_Pistas],3)</f>
        <v>112885</v>
      </c>
      <c r="H38" s="23">
        <f>AVERAGEIFS(Tabla_2[Costo_Total],Tabla_2[Instancia],B38,Tabla_2[Configuracion],G$5,Tabla_2[Num_Pistas],3)</f>
        <v>112885</v>
      </c>
      <c r="I38" s="23">
        <f>IFERROR(__xludf.DUMMYFUNCTION("STDEV(FILTER(Tabla_2[Costo_Total],Tabla_2[Instancia]=$B38,Tabla_2[Configuracion]=$G$5,Tabla_2[Num_Pistas]=3))"),0.0)</f>
        <v>0</v>
      </c>
      <c r="J38" s="24">
        <f>AVERAGEIFS(Tabla_2[Tiempo],Tabla_2[Instancia],$B38,Tabla_2[Configuracion],$G$5, Tabla_2[Num_Pistas],3)</f>
        <v>973.378</v>
      </c>
      <c r="K38" s="22">
        <f>MINIFS(Tabla_2[Costo_Total],Tabla_2[Instancia],$B38,Tabla_2[Configuracion],$K$5,Tabla_2[Num_Pistas],3)</f>
        <v>112885</v>
      </c>
      <c r="L38" s="23">
        <f>AVERAGEIFS(Tabla_2[Costo_Total],Tabla_2[Instancia],B38,Tabla_2[Configuracion],K$5,Tabla_2[Num_Pistas],3)</f>
        <v>112885</v>
      </c>
      <c r="M38" s="23">
        <f>IFERROR(__xludf.DUMMYFUNCTION("STDEV(FILTER(Tabla_2[Costo_Total],Tabla_2[Instancia]=$B38,Tabla_2[Configuracion]=$K$5,Tabla_2[Num_Pistas]=3))"),0.0)</f>
        <v>0</v>
      </c>
      <c r="N38" s="24">
        <f>AVERAGEIFS(Tabla_2[Tiempo],Tabla_2[Instancia],$B38,Tabla_2[Configuracion],$K$5,Tabla_2[Num_Pistas],3)</f>
        <v>13416.41</v>
      </c>
      <c r="O38" s="22">
        <f>MINIFS(Tabla_2[Costo_Total],Tabla_2[Instancia],$B38,Tabla_2[Configuracion],$O$5,Tabla_2[Num_Pistas],3)</f>
        <v>112885</v>
      </c>
      <c r="P38" s="23">
        <f>AVERAGEIFS(Tabla_2[Costo_Total],Tabla_2[Instancia],B38,Tabla_2[Configuracion],O$5,Tabla_2[Num_Pistas],3)</f>
        <v>112885</v>
      </c>
      <c r="Q38" s="23">
        <f>IFERROR(__xludf.DUMMYFUNCTION("STDEV(FILTER(Tabla_2[Costo_Total],Tabla_2[Instancia]=$B38,Tabla_2[Configuracion]=$O$5,Tabla_2[Num_Pistas]=3))"),0.0)</f>
        <v>0</v>
      </c>
      <c r="R38" s="24">
        <f>AVERAGEIFS(Tabla_2[Tiempo],Tabla_2[Instancia],$B38,Tabla_2[Configuracion],$O$5,Tabla_2[Num_Pistas],3)</f>
        <v>978.552</v>
      </c>
      <c r="S38" s="25">
        <f t="shared" si="21"/>
        <v>112885</v>
      </c>
      <c r="U38" s="27">
        <f t="shared" si="22"/>
        <v>0.3235682332</v>
      </c>
      <c r="AF38" s="25">
        <f t="shared" si="18"/>
        <v>1610</v>
      </c>
      <c r="AG38" s="25">
        <f t="shared" si="19"/>
        <v>1610</v>
      </c>
      <c r="AH38" s="31">
        <f t="shared" si="20"/>
        <v>0</v>
      </c>
      <c r="AJ38" s="20" t="s">
        <v>28</v>
      </c>
      <c r="AK38" s="21">
        <v>1.0</v>
      </c>
      <c r="AL38" s="20" t="s">
        <v>2</v>
      </c>
      <c r="AM38" s="20" t="s">
        <v>30</v>
      </c>
      <c r="AN38" s="21">
        <v>4996.0</v>
      </c>
      <c r="AO38" s="21">
        <v>10.0</v>
      </c>
      <c r="AP38" s="20">
        <v>1720.0</v>
      </c>
      <c r="AQ38" s="20">
        <v>0.54</v>
      </c>
    </row>
    <row r="39" ht="22.5" customHeight="1">
      <c r="B39" s="32" t="s">
        <v>48</v>
      </c>
      <c r="C39" s="22">
        <f>MINIFS(Tabla_2[Costo_Total],Tabla_2[Instancia],$B39,Tabla_2[Configuracion],$C$5,Tabla_2[Num_Pistas],3)</f>
        <v>113378</v>
      </c>
      <c r="D39" s="23">
        <f>AVERAGEIFS(Tabla_2[Costo_Total],Tabla_2[Instancia],B39,Tabla_2[Configuracion],C$5,Tabla_2[Num_Pistas],3)</f>
        <v>113378</v>
      </c>
      <c r="E39" s="23">
        <f>IFERROR(__xludf.DUMMYFUNCTION("STDEV(FILTER(Tabla_2[Costo_Total],Tabla_2[Instancia]=$B39,Tabla_2[Configuracion]=$C$5,Tabla_2[Num_Pistas]=3))"),0.0)</f>
        <v>0</v>
      </c>
      <c r="F39" s="24">
        <f>AVERAGEIFS(Tabla_2[Tiempo],Tabla_2[Instancia],$B39,Tabla_2[Configuracion],$C$5,Tabla_2[Num_Pistas],3)</f>
        <v>946.796</v>
      </c>
      <c r="G39" s="22">
        <f>MINIFS(Tabla_2[Costo_Total],Tabla_2[Instancia],$B39,Tabla_2[Configuracion],$G$5,Tabla_2[Num_Pistas],3)</f>
        <v>113378</v>
      </c>
      <c r="H39" s="23">
        <f>AVERAGEIFS(Tabla_2[Costo_Total],Tabla_2[Instancia],B39,Tabla_2[Configuracion],G$5,Tabla_2[Num_Pistas],3)</f>
        <v>113378</v>
      </c>
      <c r="I39" s="23">
        <f>IFERROR(__xludf.DUMMYFUNCTION("STDEV(FILTER(Tabla_2[Costo_Total],Tabla_2[Instancia]=$B39,Tabla_2[Configuracion]=$G$5,Tabla_2[Num_Pistas]=3))"),0.0)</f>
        <v>0</v>
      </c>
      <c r="J39" s="24">
        <f>AVERAGEIFS(Tabla_2[Tiempo],Tabla_2[Instancia],$B39,Tabla_2[Configuracion],$G$5, Tabla_2[Num_Pistas],3)</f>
        <v>965.652</v>
      </c>
      <c r="K39" s="22">
        <f>MINIFS(Tabla_2[Costo_Total],Tabla_2[Instancia],$B39,Tabla_2[Configuracion],$K$5,Tabla_2[Num_Pistas],3)</f>
        <v>113378</v>
      </c>
      <c r="L39" s="23">
        <f>AVERAGEIFS(Tabla_2[Costo_Total],Tabla_2[Instancia],B39,Tabla_2[Configuracion],K$5,Tabla_2[Num_Pistas],3)</f>
        <v>113378</v>
      </c>
      <c r="M39" s="23">
        <f>IFERROR(__xludf.DUMMYFUNCTION("STDEV(FILTER(Tabla_2[Costo_Total],Tabla_2[Instancia]=$B39,Tabla_2[Configuracion]=$K$5,Tabla_2[Num_Pistas]=3))"),0.0)</f>
        <v>0</v>
      </c>
      <c r="N39" s="24">
        <f>AVERAGEIFS(Tabla_2[Tiempo],Tabla_2[Instancia],$B39,Tabla_2[Configuracion],$K$5,Tabla_2[Num_Pistas],3)</f>
        <v>6478.676667</v>
      </c>
      <c r="O39" s="22">
        <f>MINIFS(Tabla_2[Costo_Total],Tabla_2[Instancia],$B39,Tabla_2[Configuracion],$O$5,Tabla_2[Num_Pistas],3)</f>
        <v>113378</v>
      </c>
      <c r="P39" s="23">
        <f>AVERAGEIFS(Tabla_2[Costo_Total],Tabla_2[Instancia],B39,Tabla_2[Configuracion],O$5,Tabla_2[Num_Pistas],3)</f>
        <v>113378</v>
      </c>
      <c r="Q39" s="23">
        <f>IFERROR(__xludf.DUMMYFUNCTION("STDEV(FILTER(Tabla_2[Costo_Total],Tabla_2[Instancia]=$B39,Tabla_2[Configuracion]=$O$5,Tabla_2[Num_Pistas]=3))"),0.0)</f>
        <v>0</v>
      </c>
      <c r="R39" s="24">
        <f>AVERAGEIFS(Tabla_2[Tiempo],Tabla_2[Instancia],$B39,Tabla_2[Configuracion],$O$5,Tabla_2[Num_Pistas],3)</f>
        <v>953.793</v>
      </c>
      <c r="S39" s="25">
        <f t="shared" si="21"/>
        <v>113378</v>
      </c>
      <c r="U39" s="27">
        <f t="shared" si="22"/>
        <v>0.3363086313</v>
      </c>
      <c r="AF39" s="25">
        <f t="shared" si="18"/>
        <v>4480</v>
      </c>
      <c r="AG39" s="25">
        <f t="shared" si="19"/>
        <v>4480</v>
      </c>
      <c r="AH39" s="31">
        <f t="shared" si="20"/>
        <v>0</v>
      </c>
      <c r="AJ39" s="20" t="s">
        <v>28</v>
      </c>
      <c r="AK39" s="21">
        <v>1.0</v>
      </c>
      <c r="AL39" s="20" t="s">
        <v>4</v>
      </c>
      <c r="AM39" s="20" t="s">
        <v>30</v>
      </c>
      <c r="AN39" s="21">
        <v>4996.0</v>
      </c>
      <c r="AO39" s="21">
        <v>10.0</v>
      </c>
      <c r="AP39" s="20">
        <v>1720.0</v>
      </c>
      <c r="AQ39" s="20">
        <v>0.56</v>
      </c>
    </row>
    <row r="40" ht="22.5" customHeight="1">
      <c r="B40" s="32" t="s">
        <v>49</v>
      </c>
      <c r="C40" s="22">
        <f>MINIFS(Tabla_2[Costo_Total],Tabla_2[Instancia],$B40,Tabla_2[Configuracion],$C$5,Tabla_2[Num_Pistas],3)</f>
        <v>117921</v>
      </c>
      <c r="D40" s="23">
        <f>AVERAGEIFS(Tabla_2[Costo_Total],Tabla_2[Instancia],B40,Tabla_2[Configuracion],C$5,Tabla_2[Num_Pistas],3)</f>
        <v>117921</v>
      </c>
      <c r="E40" s="23">
        <f>IFERROR(__xludf.DUMMYFUNCTION("STDEV(FILTER(Tabla_2[Costo_Total],Tabla_2[Instancia]=$B40,Tabla_2[Configuracion]=$C$5,Tabla_2[Num_Pistas]=3))"),0.0)</f>
        <v>0</v>
      </c>
      <c r="F40" s="24">
        <f>AVERAGEIFS(Tabla_2[Tiempo],Tabla_2[Instancia],$B40,Tabla_2[Configuracion],$C$5,Tabla_2[Num_Pistas],3)</f>
        <v>883.904</v>
      </c>
      <c r="G40" s="22">
        <f>MINIFS(Tabla_2[Costo_Total],Tabla_2[Instancia],$B40,Tabla_2[Configuracion],$G$5,Tabla_2[Num_Pistas],3)</f>
        <v>117921</v>
      </c>
      <c r="H40" s="23">
        <f>AVERAGEIFS(Tabla_2[Costo_Total],Tabla_2[Instancia],B40,Tabla_2[Configuracion],G$5,Tabla_2[Num_Pistas],3)</f>
        <v>117921</v>
      </c>
      <c r="I40" s="23">
        <f>IFERROR(__xludf.DUMMYFUNCTION("STDEV(FILTER(Tabla_2[Costo_Total],Tabla_2[Instancia]=$B40,Tabla_2[Configuracion]=$G$5,Tabla_2[Num_Pistas]=3))"),0.0)</f>
        <v>0</v>
      </c>
      <c r="J40" s="24">
        <f>AVERAGEIFS(Tabla_2[Tiempo],Tabla_2[Instancia],$B40,Tabla_2[Configuracion],$G$5, Tabla_2[Num_Pistas],3)</f>
        <v>13366.8175</v>
      </c>
      <c r="K40" s="22">
        <f>MINIFS(Tabla_2[Costo_Total],Tabla_2[Instancia],$B40,Tabla_2[Configuracion],$K$5,Tabla_2[Num_Pistas],3)</f>
        <v>117921</v>
      </c>
      <c r="L40" s="23">
        <f>AVERAGEIFS(Tabla_2[Costo_Total],Tabla_2[Instancia],B40,Tabla_2[Configuracion],K$5,Tabla_2[Num_Pistas],3)</f>
        <v>117921</v>
      </c>
      <c r="M40" s="23">
        <f>IFERROR(__xludf.DUMMYFUNCTION("STDEV(FILTER(Tabla_2[Costo_Total],Tabla_2[Instancia]=$B40,Tabla_2[Configuracion]=$K$5,Tabla_2[Num_Pistas]=3))"),0.0)</f>
        <v>0</v>
      </c>
      <c r="N40" s="24">
        <f>AVERAGEIFS(Tabla_2[Tiempo],Tabla_2[Instancia],$B40,Tabla_2[Configuracion],$K$5,Tabla_2[Num_Pistas],3)</f>
        <v>885.723</v>
      </c>
      <c r="O40" s="22">
        <f>MINIFS(Tabla_2[Costo_Total],Tabla_2[Instancia],$B40,Tabla_2[Configuracion],$O$5,Tabla_2[Num_Pistas],3)</f>
        <v>117921</v>
      </c>
      <c r="P40" s="23">
        <f>AVERAGEIFS(Tabla_2[Costo_Total],Tabla_2[Instancia],B40,Tabla_2[Configuracion],O$5,Tabla_2[Num_Pistas],3)</f>
        <v>117921</v>
      </c>
      <c r="Q40" s="23">
        <f>IFERROR(__xludf.DUMMYFUNCTION("STDEV(FILTER(Tabla_2[Costo_Total],Tabla_2[Instancia]=$B40,Tabla_2[Configuracion]=$O$5,Tabla_2[Num_Pistas]=3))"),0.0)</f>
        <v>0</v>
      </c>
      <c r="R40" s="24">
        <f>AVERAGEIFS(Tabla_2[Tiempo],Tabla_2[Instancia],$B40,Tabla_2[Configuracion],$O$5,Tabla_2[Num_Pistas],3)</f>
        <v>908.56</v>
      </c>
      <c r="S40" s="25">
        <f t="shared" si="21"/>
        <v>117921</v>
      </c>
      <c r="U40" s="27">
        <f t="shared" si="22"/>
        <v>0.3236404033</v>
      </c>
      <c r="AF40" s="25">
        <f t="shared" si="18"/>
        <v>4800</v>
      </c>
      <c r="AG40" s="25">
        <f t="shared" si="19"/>
        <v>4800</v>
      </c>
      <c r="AH40" s="31">
        <f t="shared" si="20"/>
        <v>0</v>
      </c>
      <c r="AJ40" s="20" t="s">
        <v>28</v>
      </c>
      <c r="AK40" s="21">
        <v>1.0</v>
      </c>
      <c r="AL40" s="20" t="s">
        <v>4</v>
      </c>
      <c r="AM40" s="20" t="s">
        <v>30</v>
      </c>
      <c r="AN40" s="21">
        <v>131972.0</v>
      </c>
      <c r="AO40" s="21">
        <v>10.0</v>
      </c>
      <c r="AP40" s="20">
        <v>2030.0</v>
      </c>
      <c r="AQ40" s="20">
        <v>0.57</v>
      </c>
    </row>
    <row r="41" ht="22.5" customHeight="1">
      <c r="B41" s="32" t="s">
        <v>50</v>
      </c>
      <c r="C41" s="22">
        <f>MINIFS(Tabla_2[Costo_Total],Tabla_2[Instancia],$B41,Tabla_2[Configuracion],$C$5,Tabla_2[Num_Pistas],3)</f>
        <v>115738</v>
      </c>
      <c r="D41" s="23">
        <f>AVERAGEIFS(Tabla_2[Costo_Total],Tabla_2[Instancia],B41,Tabla_2[Configuracion],C$5,Tabla_2[Num_Pistas],3)</f>
        <v>115742</v>
      </c>
      <c r="E41" s="23">
        <f>IFERROR(__xludf.DUMMYFUNCTION("STDEV(FILTER(Tabla_2[Costo_Total],Tabla_2[Instancia]=$B41,Tabla_2[Configuracion]=$C$5,Tabla_2[Num_Pistas]=3))"),8.94427190999916)</f>
        <v>8.94427191</v>
      </c>
      <c r="F41" s="24">
        <f>AVERAGEIFS(Tabla_2[Tiempo],Tabla_2[Instancia],$B41,Tabla_2[Configuracion],$C$5,Tabla_2[Num_Pistas],3)</f>
        <v>829.744</v>
      </c>
      <c r="G41" s="22">
        <f>MINIFS(Tabla_2[Costo_Total],Tabla_2[Instancia],$B41,Tabla_2[Configuracion],$G$5,Tabla_2[Num_Pistas],3)</f>
        <v>115738</v>
      </c>
      <c r="H41" s="23">
        <f>AVERAGEIFS(Tabla_2[Costo_Total],Tabla_2[Instancia],B41,Tabla_2[Configuracion],G$5,Tabla_2[Num_Pistas],3)</f>
        <v>115742</v>
      </c>
      <c r="I41" s="23">
        <f>IFERROR(__xludf.DUMMYFUNCTION("STDEV(FILTER(Tabla_2[Costo_Total],Tabla_2[Instancia]=$B41,Tabla_2[Configuracion]=$G$5,Tabla_2[Num_Pistas]=3))"),8.94427190999916)</f>
        <v>8.94427191</v>
      </c>
      <c r="J41" s="24">
        <f>AVERAGEIFS(Tabla_2[Tiempo],Tabla_2[Instancia],$B41,Tabla_2[Configuracion],$G$5, Tabla_2[Num_Pistas],3)</f>
        <v>856.124</v>
      </c>
      <c r="K41" s="22">
        <f>MINIFS(Tabla_2[Costo_Total],Tabla_2[Instancia],$B41,Tabla_2[Configuracion],$K$5,Tabla_2[Num_Pistas],3)</f>
        <v>115738</v>
      </c>
      <c r="L41" s="23">
        <f>AVERAGEIFS(Tabla_2[Costo_Total],Tabla_2[Instancia],B41,Tabla_2[Configuracion],K$5,Tabla_2[Num_Pistas],3)</f>
        <v>115740.2222</v>
      </c>
      <c r="M41" s="23">
        <f>IFERROR(__xludf.DUMMYFUNCTION("STDEV(FILTER(Tabla_2[Costo_Total],Tabla_2[Instancia]=$B41,Tabla_2[Configuracion]=$K$5,Tabla_2[Num_Pistas]=3))"),6.6666666666662495)</f>
        <v>6.666666667</v>
      </c>
      <c r="N41" s="24">
        <f>AVERAGEIFS(Tabla_2[Tiempo],Tabla_2[Instancia],$B41,Tabla_2[Configuracion],$K$5,Tabla_2[Num_Pistas],3)</f>
        <v>6384.236667</v>
      </c>
      <c r="O41" s="22">
        <f>MINIFS(Tabla_2[Costo_Total],Tabla_2[Instancia],$B41,Tabla_2[Configuracion],$O$5,Tabla_2[Num_Pistas],3)</f>
        <v>115738</v>
      </c>
      <c r="P41" s="23">
        <f>AVERAGEIFS(Tabla_2[Costo_Total],Tabla_2[Instancia],B41,Tabla_2[Configuracion],O$5,Tabla_2[Num_Pistas],3)</f>
        <v>115740</v>
      </c>
      <c r="Q41" s="23">
        <f>IFERROR(__xludf.DUMMYFUNCTION("STDEV(FILTER(Tabla_2[Costo_Total],Tabla_2[Instancia]=$B41,Tabla_2[Configuracion]=$O$5,Tabla_2[Num_Pistas]=3))"),6.324555320336311)</f>
        <v>6.32455532</v>
      </c>
      <c r="R41" s="24">
        <f>AVERAGEIFS(Tabla_2[Tiempo],Tabla_2[Instancia],$B41,Tabla_2[Configuracion],$O$5,Tabla_2[Num_Pistas],3)</f>
        <v>5860.854</v>
      </c>
      <c r="S41" s="25">
        <f t="shared" si="21"/>
        <v>115738</v>
      </c>
      <c r="U41" s="27">
        <f t="shared" si="22"/>
        <v>0.3396723634</v>
      </c>
      <c r="AF41" s="25">
        <f t="shared" si="18"/>
        <v>24442</v>
      </c>
      <c r="AG41" s="25">
        <f t="shared" si="19"/>
        <v>24442</v>
      </c>
      <c r="AH41" s="31">
        <f t="shared" si="20"/>
        <v>0</v>
      </c>
      <c r="AJ41" s="20" t="s">
        <v>28</v>
      </c>
      <c r="AK41" s="21">
        <v>1.0</v>
      </c>
      <c r="AL41" s="20" t="s">
        <v>2</v>
      </c>
      <c r="AM41" s="20" t="s">
        <v>30</v>
      </c>
      <c r="AN41" s="21">
        <v>1156.0</v>
      </c>
      <c r="AO41" s="21">
        <v>10.0</v>
      </c>
      <c r="AP41" s="20">
        <v>1720.0</v>
      </c>
      <c r="AQ41" s="20">
        <v>0.58</v>
      </c>
    </row>
    <row r="42" ht="22.5" customHeight="1">
      <c r="B42" s="32" t="s">
        <v>51</v>
      </c>
      <c r="C42" s="22">
        <f>MINIFS(Tabla_2[Costo_Total],Tabla_2[Instancia],$B42,Tabla_2[Configuracion],$C$5,Tabla_2[Num_Pistas],3)</f>
        <v>107179</v>
      </c>
      <c r="D42" s="23">
        <f>AVERAGEIFS(Tabla_2[Costo_Total],Tabla_2[Instancia],B42,Tabla_2[Configuracion],C$5,Tabla_2[Num_Pistas],3)</f>
        <v>107179</v>
      </c>
      <c r="E42" s="23">
        <f>IFERROR(__xludf.DUMMYFUNCTION("STDEV(FILTER(Tabla_2[Costo_Total],Tabla_2[Instancia]=$B42,Tabla_2[Configuracion]=$C$5,Tabla_2[Num_Pistas]=3))"),0.0)</f>
        <v>0</v>
      </c>
      <c r="F42" s="24">
        <f>AVERAGEIFS(Tabla_2[Tiempo],Tabla_2[Instancia],$B42,Tabla_2[Configuracion],$C$5,Tabla_2[Num_Pistas],3)</f>
        <v>13351.795</v>
      </c>
      <c r="G42" s="22">
        <f>MINIFS(Tabla_2[Costo_Total],Tabla_2[Instancia],$B42,Tabla_2[Configuracion],$G$5,Tabla_2[Num_Pistas],3)</f>
        <v>107179</v>
      </c>
      <c r="H42" s="23">
        <f>AVERAGEIFS(Tabla_2[Costo_Total],Tabla_2[Instancia],B42,Tabla_2[Configuracion],G$5,Tabla_2[Num_Pistas],3)</f>
        <v>107179</v>
      </c>
      <c r="I42" s="23">
        <f>IFERROR(__xludf.DUMMYFUNCTION("STDEV(FILTER(Tabla_2[Costo_Total],Tabla_2[Instancia]=$B42,Tabla_2[Configuracion]=$G$5,Tabla_2[Num_Pistas]=3))"),0.0)</f>
        <v>0</v>
      </c>
      <c r="J42" s="24">
        <f>AVERAGEIFS(Tabla_2[Tiempo],Tabla_2[Instancia],$B42,Tabla_2[Configuracion],$G$5, Tabla_2[Num_Pistas],3)</f>
        <v>10883.93</v>
      </c>
      <c r="K42" s="22">
        <f>MINIFS(Tabla_2[Costo_Total],Tabla_2[Instancia],$B42,Tabla_2[Configuracion],$K$5,Tabla_2[Num_Pistas],3)</f>
        <v>107179</v>
      </c>
      <c r="L42" s="23">
        <f>AVERAGEIFS(Tabla_2[Costo_Total],Tabla_2[Instancia],B42,Tabla_2[Configuracion],K$5,Tabla_2[Num_Pistas],3)</f>
        <v>107179</v>
      </c>
      <c r="M42" s="23">
        <f>IFERROR(__xludf.DUMMYFUNCTION("STDEV(FILTER(Tabla_2[Costo_Total],Tabla_2[Instancia]=$B42,Tabla_2[Configuracion]=$K$5,Tabla_2[Num_Pistas]=3))"),0.0)</f>
        <v>0</v>
      </c>
      <c r="N42" s="24">
        <f>AVERAGEIFS(Tabla_2[Tiempo],Tabla_2[Instancia],$B42,Tabla_2[Configuracion],$K$5,Tabla_2[Num_Pistas],3)</f>
        <v>878.572</v>
      </c>
      <c r="O42" s="22">
        <f>MINIFS(Tabla_2[Costo_Total],Tabla_2[Instancia],$B42,Tabla_2[Configuracion],$O$5,Tabla_2[Num_Pistas],3)</f>
        <v>107179</v>
      </c>
      <c r="P42" s="23">
        <f>AVERAGEIFS(Tabla_2[Costo_Total],Tabla_2[Instancia],B42,Tabla_2[Configuracion],O$5,Tabla_2[Num_Pistas],3)</f>
        <v>107179</v>
      </c>
      <c r="Q42" s="23">
        <f>IFERROR(__xludf.DUMMYFUNCTION("STDEV(FILTER(Tabla_2[Costo_Total],Tabla_2[Instancia]=$B42,Tabla_2[Configuracion]=$O$5,Tabla_2[Num_Pistas]=3))"),0.0)</f>
        <v>0</v>
      </c>
      <c r="R42" s="24">
        <f>AVERAGEIFS(Tabla_2[Tiempo],Tabla_2[Instancia],$B42,Tabla_2[Configuracion],$O$5,Tabla_2[Num_Pistas],3)</f>
        <v>900.388</v>
      </c>
      <c r="S42" s="25">
        <f t="shared" si="21"/>
        <v>107179</v>
      </c>
      <c r="U42" s="27">
        <f t="shared" si="22"/>
        <v>0.3235708488</v>
      </c>
      <c r="AF42" s="25">
        <f t="shared" si="18"/>
        <v>3974</v>
      </c>
      <c r="AG42" s="25">
        <f t="shared" si="19"/>
        <v>3974</v>
      </c>
      <c r="AH42" s="31">
        <f t="shared" si="20"/>
        <v>0</v>
      </c>
      <c r="AJ42" s="20" t="s">
        <v>28</v>
      </c>
      <c r="AK42" s="21">
        <v>1.0</v>
      </c>
      <c r="AL42" s="20" t="s">
        <v>2</v>
      </c>
      <c r="AM42" s="20" t="s">
        <v>30</v>
      </c>
      <c r="AN42" s="21">
        <v>1412.0</v>
      </c>
      <c r="AO42" s="21">
        <v>10.0</v>
      </c>
      <c r="AP42" s="20">
        <v>2030.0</v>
      </c>
      <c r="AQ42" s="20">
        <v>0.58</v>
      </c>
    </row>
    <row r="43" ht="22.5" customHeight="1">
      <c r="B43" s="32" t="s">
        <v>52</v>
      </c>
      <c r="C43" s="22">
        <f>MINIFS(Tabla_2[Costo_Total],Tabla_2[Instancia],$B43,Tabla_2[Configuracion],$C$5,Tabla_2[Num_Pistas],3)</f>
        <v>108829</v>
      </c>
      <c r="D43" s="23">
        <f>AVERAGEIFS(Tabla_2[Costo_Total],Tabla_2[Instancia],B43,Tabla_2[Configuracion],C$5,Tabla_2[Num_Pistas],3)</f>
        <v>108829</v>
      </c>
      <c r="E43" s="23">
        <f>IFERROR(__xludf.DUMMYFUNCTION("STDEV(FILTER(Tabla_2[Costo_Total],Tabla_2[Instancia]=$B43,Tabla_2[Configuracion]=$C$5,Tabla_2[Num_Pistas]=3))"),0.0)</f>
        <v>0</v>
      </c>
      <c r="F43" s="24">
        <f>AVERAGEIFS(Tabla_2[Tiempo],Tabla_2[Instancia],$B43,Tabla_2[Configuracion],$C$5,Tabla_2[Num_Pistas],3)</f>
        <v>929.364</v>
      </c>
      <c r="G43" s="22">
        <f>MINIFS(Tabla_2[Costo_Total],Tabla_2[Instancia],$B43,Tabla_2[Configuracion],$G$5,Tabla_2[Num_Pistas],3)</f>
        <v>108829</v>
      </c>
      <c r="H43" s="23">
        <f>AVERAGEIFS(Tabla_2[Costo_Total],Tabla_2[Instancia],B43,Tabla_2[Configuracion],G$5,Tabla_2[Num_Pistas],3)</f>
        <v>108829</v>
      </c>
      <c r="I43" s="23">
        <f>IFERROR(__xludf.DUMMYFUNCTION("STDEV(FILTER(Tabla_2[Costo_Total],Tabla_2[Instancia]=$B43,Tabla_2[Configuracion]=$G$5,Tabla_2[Num_Pistas]=3))"),0.0)</f>
        <v>0</v>
      </c>
      <c r="J43" s="24">
        <f>AVERAGEIFS(Tabla_2[Tiempo],Tabla_2[Instancia],$B43,Tabla_2[Configuracion],$G$5, Tabla_2[Num_Pistas],3)</f>
        <v>13432.965</v>
      </c>
      <c r="K43" s="22">
        <f>MINIFS(Tabla_2[Costo_Total],Tabla_2[Instancia],$B43,Tabla_2[Configuracion],$K$5,Tabla_2[Num_Pistas],3)</f>
        <v>108829</v>
      </c>
      <c r="L43" s="23">
        <f>AVERAGEIFS(Tabla_2[Costo_Total],Tabla_2[Instancia],B43,Tabla_2[Configuracion],K$5,Tabla_2[Num_Pistas],3)</f>
        <v>108829</v>
      </c>
      <c r="M43" s="23">
        <f>IFERROR(__xludf.DUMMYFUNCTION("STDEV(FILTER(Tabla_2[Costo_Total],Tabla_2[Instancia]=$B43,Tabla_2[Configuracion]=$K$5,Tabla_2[Num_Pistas]=3))"),0.0)</f>
        <v>0</v>
      </c>
      <c r="N43" s="24">
        <f>AVERAGEIFS(Tabla_2[Tiempo],Tabla_2[Instancia],$B43,Tabla_2[Configuracion],$K$5,Tabla_2[Num_Pistas],3)</f>
        <v>943.309</v>
      </c>
      <c r="O43" s="22">
        <f>MINIFS(Tabla_2[Costo_Total],Tabla_2[Instancia],$B43,Tabla_2[Configuracion],$O$5,Tabla_2[Num_Pistas],3)</f>
        <v>108829</v>
      </c>
      <c r="P43" s="23">
        <f>AVERAGEIFS(Tabla_2[Costo_Total],Tabla_2[Instancia],B43,Tabla_2[Configuracion],O$5,Tabla_2[Num_Pistas],3)</f>
        <v>108829</v>
      </c>
      <c r="Q43" s="23">
        <f>IFERROR(__xludf.DUMMYFUNCTION("STDEV(FILTER(Tabla_2[Costo_Total],Tabla_2[Instancia]=$B43,Tabla_2[Configuracion]=$O$5,Tabla_2[Num_Pistas]=3))"),0.0)</f>
        <v>0</v>
      </c>
      <c r="R43" s="24">
        <f>AVERAGEIFS(Tabla_2[Tiempo],Tabla_2[Instancia],$B43,Tabla_2[Configuracion],$O$5,Tabla_2[Num_Pistas],3)</f>
        <v>13420.90875</v>
      </c>
      <c r="S43" s="25">
        <f t="shared" si="21"/>
        <v>108829</v>
      </c>
      <c r="U43" s="27">
        <f t="shared" si="22"/>
        <v>0.334929109</v>
      </c>
      <c r="AF43" s="25">
        <f t="shared" si="18"/>
        <v>3240</v>
      </c>
      <c r="AG43" s="25">
        <f t="shared" si="19"/>
        <v>3240</v>
      </c>
      <c r="AH43" s="31">
        <f t="shared" si="20"/>
        <v>0</v>
      </c>
      <c r="AJ43" s="20" t="s">
        <v>28</v>
      </c>
      <c r="AK43" s="21">
        <v>1.0</v>
      </c>
      <c r="AL43" s="20" t="s">
        <v>2</v>
      </c>
      <c r="AM43" s="20" t="s">
        <v>30</v>
      </c>
      <c r="AN43" s="21">
        <v>2948.0</v>
      </c>
      <c r="AO43" s="21">
        <v>10.0</v>
      </c>
      <c r="AP43" s="20">
        <v>1720.0</v>
      </c>
      <c r="AQ43" s="20">
        <v>0.61</v>
      </c>
    </row>
    <row r="44" ht="22.5" customHeight="1">
      <c r="B44" s="32" t="s">
        <v>53</v>
      </c>
      <c r="C44" s="22">
        <f>MINIFS(Tabla_2[Costo_Total],Tabla_2[Instancia],$B44,Tabla_2[Configuracion],$C$5,Tabla_2[Num_Pistas],3)</f>
        <v>96179</v>
      </c>
      <c r="D44" s="23">
        <f>AVERAGEIFS(Tabla_2[Costo_Total],Tabla_2[Instancia],B44,Tabla_2[Configuracion],C$5,Tabla_2[Num_Pistas],3)</f>
        <v>96179</v>
      </c>
      <c r="E44" s="23">
        <f>IFERROR(__xludf.DUMMYFUNCTION("STDEV(FILTER(Tabla_2[Costo_Total],Tabla_2[Instancia]=$B44,Tabla_2[Configuracion]=$C$5,Tabla_2[Num_Pistas]=3))"),0.0)</f>
        <v>0</v>
      </c>
      <c r="F44" s="24">
        <f>AVERAGEIFS(Tabla_2[Tiempo],Tabla_2[Instancia],$B44,Tabla_2[Configuracion],$C$5,Tabla_2[Num_Pistas],3)</f>
        <v>1002.668</v>
      </c>
      <c r="G44" s="22">
        <f>MINIFS(Tabla_2[Costo_Total],Tabla_2[Instancia],$B44,Tabla_2[Configuracion],$G$5,Tabla_2[Num_Pistas],3)</f>
        <v>96179</v>
      </c>
      <c r="H44" s="23">
        <f>AVERAGEIFS(Tabla_2[Costo_Total],Tabla_2[Instancia],B44,Tabla_2[Configuracion],G$5,Tabla_2[Num_Pistas],3)</f>
        <v>96179</v>
      </c>
      <c r="I44" s="23">
        <f>IFERROR(__xludf.DUMMYFUNCTION("STDEV(FILTER(Tabla_2[Costo_Total],Tabla_2[Instancia]=$B44,Tabla_2[Configuracion]=$G$5,Tabla_2[Num_Pistas]=3))"),0.0)</f>
        <v>0</v>
      </c>
      <c r="J44" s="24">
        <f>AVERAGEIFS(Tabla_2[Tiempo],Tabla_2[Instancia],$B44,Tabla_2[Configuracion],$G$5, Tabla_2[Num_Pistas],3)</f>
        <v>1030.8375</v>
      </c>
      <c r="K44" s="22">
        <f>MINIFS(Tabla_2[Costo_Total],Tabla_2[Instancia],$B44,Tabla_2[Configuracion],$K$5,Tabla_2[Num_Pistas],3)</f>
        <v>96179</v>
      </c>
      <c r="L44" s="23">
        <f>AVERAGEIFS(Tabla_2[Costo_Total],Tabla_2[Instancia],B44,Tabla_2[Configuracion],K$5,Tabla_2[Num_Pistas],3)</f>
        <v>96180.8</v>
      </c>
      <c r="M44" s="23">
        <f>IFERROR(__xludf.DUMMYFUNCTION("STDEV(FILTER(Tabla_2[Costo_Total],Tabla_2[Instancia]=$B44,Tabla_2[Configuracion]=$K$5,Tabla_2[Num_Pistas]=3))"),5.692099788303459)</f>
        <v>5.692099788</v>
      </c>
      <c r="N44" s="24">
        <f>AVERAGEIFS(Tabla_2[Tiempo],Tabla_2[Instancia],$B44,Tabla_2[Configuracion],$K$5,Tabla_2[Num_Pistas],3)</f>
        <v>1003.883</v>
      </c>
      <c r="O44" s="22">
        <f>MINIFS(Tabla_2[Costo_Total],Tabla_2[Instancia],$B44,Tabla_2[Configuracion],$O$5,Tabla_2[Num_Pistas],3)</f>
        <v>96179</v>
      </c>
      <c r="P44" s="23">
        <f>AVERAGEIFS(Tabla_2[Costo_Total],Tabla_2[Instancia],B44,Tabla_2[Configuracion],O$5,Tabla_2[Num_Pistas],3)</f>
        <v>96180.8</v>
      </c>
      <c r="Q44" s="23">
        <f>IFERROR(__xludf.DUMMYFUNCTION("STDEV(FILTER(Tabla_2[Costo_Total],Tabla_2[Instancia]=$B44,Tabla_2[Configuracion]=$O$5,Tabla_2[Num_Pistas]=3))"),5.692099788302181)</f>
        <v>5.692099788</v>
      </c>
      <c r="R44" s="24">
        <f>AVERAGEIFS(Tabla_2[Tiempo],Tabla_2[Instancia],$B44,Tabla_2[Configuracion],$O$5,Tabla_2[Num_Pistas],3)</f>
        <v>1020.778</v>
      </c>
      <c r="S44" s="25">
        <f t="shared" si="21"/>
        <v>96179</v>
      </c>
      <c r="U44" s="27">
        <f t="shared" si="22"/>
        <v>0.3273167739</v>
      </c>
      <c r="AF44" s="25">
        <f t="shared" si="18"/>
        <v>10345.02</v>
      </c>
      <c r="AG44" s="25">
        <f t="shared" si="19"/>
        <v>10345.02</v>
      </c>
      <c r="AH44" s="31">
        <f t="shared" si="20"/>
        <v>0</v>
      </c>
      <c r="AJ44" s="20" t="s">
        <v>28</v>
      </c>
      <c r="AK44" s="21">
        <v>1.0</v>
      </c>
      <c r="AL44" s="20" t="s">
        <v>4</v>
      </c>
      <c r="AM44" s="20" t="s">
        <v>30</v>
      </c>
      <c r="AN44" s="21">
        <v>2948.0</v>
      </c>
      <c r="AO44" s="21">
        <v>10.0</v>
      </c>
      <c r="AP44" s="20">
        <v>1720.0</v>
      </c>
      <c r="AQ44" s="20">
        <v>0.62</v>
      </c>
    </row>
    <row r="45" ht="22.5" customHeight="1">
      <c r="B45" s="32" t="s">
        <v>54</v>
      </c>
      <c r="C45" s="22">
        <f>MINIFS(Tabla_2[Costo_Total],Tabla_2[Instancia],$B45,Tabla_2[Configuracion],$C$5,Tabla_2[Num_Pistas],3)</f>
        <v>107420</v>
      </c>
      <c r="D45" s="23">
        <f>AVERAGEIFS(Tabla_2[Costo_Total],Tabla_2[Instancia],B45,Tabla_2[Configuracion],C$5,Tabla_2[Num_Pistas],3)</f>
        <v>107420</v>
      </c>
      <c r="E45" s="23">
        <f>IFERROR(__xludf.DUMMYFUNCTION("STDEV(FILTER(Tabla_2[Costo_Total],Tabla_2[Instancia]=$B45,Tabla_2[Configuracion]=$C$5,Tabla_2[Num_Pistas]=3))"),0.0)</f>
        <v>0</v>
      </c>
      <c r="F45" s="24">
        <f>AVERAGEIFS(Tabla_2[Tiempo],Tabla_2[Instancia],$B45,Tabla_2[Configuracion],$C$5,Tabla_2[Num_Pistas],3)</f>
        <v>1018.556</v>
      </c>
      <c r="G45" s="22">
        <f>MINIFS(Tabla_2[Costo_Total],Tabla_2[Instancia],$B45,Tabla_2[Configuracion],$G$5,Tabla_2[Num_Pistas],3)</f>
        <v>107420</v>
      </c>
      <c r="H45" s="23">
        <f>AVERAGEIFS(Tabla_2[Costo_Total],Tabla_2[Instancia],B45,Tabla_2[Configuracion],G$5,Tabla_2[Num_Pistas],3)</f>
        <v>107420</v>
      </c>
      <c r="I45" s="23">
        <f>IFERROR(__xludf.DUMMYFUNCTION("STDEV(FILTER(Tabla_2[Costo_Total],Tabla_2[Instancia]=$B45,Tabla_2[Configuracion]=$G$5,Tabla_2[Num_Pistas]=3))"),0.0)</f>
        <v>0</v>
      </c>
      <c r="J45" s="24">
        <f>AVERAGEIFS(Tabla_2[Tiempo],Tabla_2[Instancia],$B45,Tabla_2[Configuracion],$G$5, Tabla_2[Num_Pistas],3)</f>
        <v>986.948</v>
      </c>
      <c r="K45" s="22">
        <f>MINIFS(Tabla_2[Costo_Total],Tabla_2[Instancia],$B45,Tabla_2[Configuracion],$K$5,Tabla_2[Num_Pistas],3)</f>
        <v>107420</v>
      </c>
      <c r="L45" s="23">
        <f>AVERAGEIFS(Tabla_2[Costo_Total],Tabla_2[Instancia],B45,Tabla_2[Configuracion],K$5,Tabla_2[Num_Pistas],3)</f>
        <v>107420</v>
      </c>
      <c r="M45" s="23">
        <f>IFERROR(__xludf.DUMMYFUNCTION("STDEV(FILTER(Tabla_2[Costo_Total],Tabla_2[Instancia]=$B45,Tabla_2[Configuracion]=$K$5,Tabla_2[Num_Pistas]=3))"),0.0)</f>
        <v>0</v>
      </c>
      <c r="N45" s="24">
        <f>AVERAGEIFS(Tabla_2[Tiempo],Tabla_2[Instancia],$B45,Tabla_2[Configuracion],$K$5,Tabla_2[Num_Pistas],3)</f>
        <v>965.586</v>
      </c>
      <c r="O45" s="22">
        <f>MINIFS(Tabla_2[Costo_Total],Tabla_2[Instancia],$B45,Tabla_2[Configuracion],$O$5,Tabla_2[Num_Pistas],3)</f>
        <v>107420</v>
      </c>
      <c r="P45" s="23">
        <f>AVERAGEIFS(Tabla_2[Costo_Total],Tabla_2[Instancia],B45,Tabla_2[Configuracion],O$5,Tabla_2[Num_Pistas],3)</f>
        <v>107420</v>
      </c>
      <c r="Q45" s="23">
        <f>IFERROR(__xludf.DUMMYFUNCTION("STDEV(FILTER(Tabla_2[Costo_Total],Tabla_2[Instancia]=$B45,Tabla_2[Configuracion]=$O$5,Tabla_2[Num_Pistas]=3))"),0.0)</f>
        <v>0</v>
      </c>
      <c r="R45" s="24">
        <f>AVERAGEIFS(Tabla_2[Tiempo],Tabla_2[Instancia],$B45,Tabla_2[Configuracion],$O$5,Tabla_2[Num_Pistas],3)</f>
        <v>978.839</v>
      </c>
      <c r="S45" s="25">
        <f t="shared" si="21"/>
        <v>107420</v>
      </c>
      <c r="U45" s="27">
        <f t="shared" si="22"/>
        <v>0.3324613666</v>
      </c>
      <c r="AF45" s="25">
        <f t="shared" si="18"/>
        <v>25843.38</v>
      </c>
      <c r="AG45" s="25">
        <f t="shared" si="19"/>
        <v>25843.38</v>
      </c>
      <c r="AH45" s="31">
        <f t="shared" si="20"/>
        <v>0</v>
      </c>
      <c r="AJ45" s="20" t="s">
        <v>28</v>
      </c>
      <c r="AK45" s="21">
        <v>1.0</v>
      </c>
      <c r="AL45" s="20" t="s">
        <v>3</v>
      </c>
      <c r="AM45" s="20" t="s">
        <v>30</v>
      </c>
      <c r="AN45" s="21">
        <v>1412.0</v>
      </c>
      <c r="AO45" s="21">
        <v>20.0</v>
      </c>
      <c r="AP45" s="20">
        <v>2030.0</v>
      </c>
      <c r="AQ45" s="20">
        <v>0.64</v>
      </c>
    </row>
    <row r="46" ht="22.5" customHeight="1">
      <c r="B46" s="32" t="s">
        <v>55</v>
      </c>
      <c r="C46" s="22">
        <f>MINIFS(Tabla_2[Costo_Total],Tabla_2[Instancia],$B46,Tabla_2[Configuracion],$C$5,Tabla_2[Num_Pistas],3)</f>
        <v>114430</v>
      </c>
      <c r="D46" s="23">
        <f>AVERAGEIFS(Tabla_2[Costo_Total],Tabla_2[Instancia],B46,Tabla_2[Configuracion],C$5,Tabla_2[Num_Pistas],3)</f>
        <v>114430</v>
      </c>
      <c r="E46" s="23">
        <f>IFERROR(__xludf.DUMMYFUNCTION("STDEV(FILTER(Tabla_2[Costo_Total],Tabla_2[Instancia]=$B46,Tabla_2[Configuracion]=$C$5,Tabla_2[Num_Pistas]=3))"),0.0)</f>
        <v>0</v>
      </c>
      <c r="F46" s="24">
        <f>AVERAGEIFS(Tabla_2[Tiempo],Tabla_2[Instancia],$B46,Tabla_2[Configuracion],$C$5,Tabla_2[Num_Pistas],3)</f>
        <v>843.806</v>
      </c>
      <c r="G46" s="22">
        <f>MINIFS(Tabla_2[Costo_Total],Tabla_2[Instancia],$B46,Tabla_2[Configuracion],$G$5,Tabla_2[Num_Pistas],3)</f>
        <v>114430</v>
      </c>
      <c r="H46" s="23">
        <f>AVERAGEIFS(Tabla_2[Costo_Total],Tabla_2[Instancia],B46,Tabla_2[Configuracion],G$5,Tabla_2[Num_Pistas],3)</f>
        <v>114430</v>
      </c>
      <c r="I46" s="23">
        <f>IFERROR(__xludf.DUMMYFUNCTION("STDEV(FILTER(Tabla_2[Costo_Total],Tabla_2[Instancia]=$B46,Tabla_2[Configuracion]=$G$5,Tabla_2[Num_Pistas]=3))"),0.0)</f>
        <v>0</v>
      </c>
      <c r="J46" s="24">
        <f>AVERAGEIFS(Tabla_2[Tiempo],Tabla_2[Instancia],$B46,Tabla_2[Configuracion],$G$5, Tabla_2[Num_Pistas],3)</f>
        <v>10894.464</v>
      </c>
      <c r="K46" s="22">
        <f>MINIFS(Tabla_2[Costo_Total],Tabla_2[Instancia],$B46,Tabla_2[Configuracion],$K$5,Tabla_2[Num_Pistas],3)</f>
        <v>114430</v>
      </c>
      <c r="L46" s="23">
        <f>AVERAGEIFS(Tabla_2[Costo_Total],Tabla_2[Instancia],B46,Tabla_2[Configuracion],K$5,Tabla_2[Num_Pistas],3)</f>
        <v>114430</v>
      </c>
      <c r="M46" s="23">
        <f>IFERROR(__xludf.DUMMYFUNCTION("STDEV(FILTER(Tabla_2[Costo_Total],Tabla_2[Instancia]=$B46,Tabla_2[Configuracion]=$K$5,Tabla_2[Num_Pistas]=3))"),0.0)</f>
        <v>0</v>
      </c>
      <c r="N46" s="24">
        <f>AVERAGEIFS(Tabla_2[Tiempo],Tabla_2[Instancia],$B46,Tabla_2[Configuracion],$K$5,Tabla_2[Num_Pistas],3)</f>
        <v>899.7</v>
      </c>
      <c r="O46" s="22">
        <f>MINIFS(Tabla_2[Costo_Total],Tabla_2[Instancia],$B46,Tabla_2[Configuracion],$O$5,Tabla_2[Num_Pistas],3)</f>
        <v>114430</v>
      </c>
      <c r="P46" s="23">
        <f>AVERAGEIFS(Tabla_2[Costo_Total],Tabla_2[Instancia],B46,Tabla_2[Configuracion],O$5,Tabla_2[Num_Pistas],3)</f>
        <v>114430</v>
      </c>
      <c r="Q46" s="23">
        <f>IFERROR(__xludf.DUMMYFUNCTION("STDEV(FILTER(Tabla_2[Costo_Total],Tabla_2[Instancia]=$B46,Tabla_2[Configuracion]=$O$5,Tabla_2[Num_Pistas]=3))"),0.0)</f>
        <v>0</v>
      </c>
      <c r="R46" s="24">
        <f>AVERAGEIFS(Tabla_2[Tiempo],Tabla_2[Instancia],$B46,Tabla_2[Configuracion],$O$5,Tabla_2[Num_Pistas],3)</f>
        <v>927.673</v>
      </c>
      <c r="S46" s="25">
        <f t="shared" si="21"/>
        <v>114430</v>
      </c>
      <c r="U46" s="27">
        <f t="shared" si="22"/>
        <v>0.3193830289</v>
      </c>
      <c r="AF46" s="25">
        <f t="shared" si="18"/>
        <v>22522.46</v>
      </c>
      <c r="AG46" s="25">
        <f t="shared" si="19"/>
        <v>22522.46</v>
      </c>
      <c r="AH46" s="31">
        <f t="shared" si="20"/>
        <v>0</v>
      </c>
      <c r="AJ46" s="20" t="s">
        <v>28</v>
      </c>
      <c r="AK46" s="21">
        <v>1.0</v>
      </c>
      <c r="AL46" s="20" t="s">
        <v>4</v>
      </c>
      <c r="AM46" s="20" t="s">
        <v>30</v>
      </c>
      <c r="AN46" s="21">
        <v>1924.0</v>
      </c>
      <c r="AO46" s="21">
        <v>10.0</v>
      </c>
      <c r="AP46" s="20">
        <v>1720.0</v>
      </c>
      <c r="AQ46" s="20">
        <v>0.65</v>
      </c>
    </row>
    <row r="47" ht="22.5" customHeight="1">
      <c r="B47" s="32" t="s">
        <v>56</v>
      </c>
      <c r="C47" s="22">
        <f>MINIFS(Tabla_2[Costo_Total],Tabla_2[Instancia],$B47,Tabla_2[Configuracion],$C$5,Tabla_2[Num_Pistas],3)</f>
        <v>115862</v>
      </c>
      <c r="D47" s="23">
        <f>AVERAGEIFS(Tabla_2[Costo_Total],Tabla_2[Instancia],B47,Tabla_2[Configuracion],C$5,Tabla_2[Num_Pistas],3)</f>
        <v>115862</v>
      </c>
      <c r="E47" s="23">
        <f>IFERROR(__xludf.DUMMYFUNCTION("STDEV(FILTER(Tabla_2[Costo_Total],Tabla_2[Instancia]=$B47,Tabla_2[Configuracion]=$C$5,Tabla_2[Num_Pistas]=3))"),0.0)</f>
        <v>0</v>
      </c>
      <c r="F47" s="24">
        <f>AVERAGEIFS(Tabla_2[Tiempo],Tabla_2[Instancia],$B47,Tabla_2[Configuracion],$C$5,Tabla_2[Num_Pistas],3)</f>
        <v>13359.7275</v>
      </c>
      <c r="G47" s="22">
        <f>MINIFS(Tabla_2[Costo_Total],Tabla_2[Instancia],$B47,Tabla_2[Configuracion],$G$5,Tabla_2[Num_Pistas],3)</f>
        <v>115862</v>
      </c>
      <c r="H47" s="23">
        <f>AVERAGEIFS(Tabla_2[Costo_Total],Tabla_2[Instancia],B47,Tabla_2[Configuracion],G$5,Tabla_2[Num_Pistas],3)</f>
        <v>115862</v>
      </c>
      <c r="I47" s="23">
        <f>IFERROR(__xludf.DUMMYFUNCTION("STDEV(FILTER(Tabla_2[Costo_Total],Tabla_2[Instancia]=$B47,Tabla_2[Configuracion]=$G$5,Tabla_2[Num_Pistas]=3))"),0.0)</f>
        <v>0</v>
      </c>
      <c r="J47" s="24">
        <f>AVERAGEIFS(Tabla_2[Tiempo],Tabla_2[Instancia],$B47,Tabla_2[Configuracion],$G$5, Tabla_2[Num_Pistas],3)</f>
        <v>917.7525</v>
      </c>
      <c r="K47" s="22">
        <f>MINIFS(Tabla_2[Costo_Total],Tabla_2[Instancia],$B47,Tabla_2[Configuracion],$K$5,Tabla_2[Num_Pistas],3)</f>
        <v>115862</v>
      </c>
      <c r="L47" s="23">
        <f>AVERAGEIFS(Tabla_2[Costo_Total],Tabla_2[Instancia],B47,Tabla_2[Configuracion],K$5,Tabla_2[Num_Pistas],3)</f>
        <v>115862</v>
      </c>
      <c r="M47" s="23">
        <f>IFERROR(__xludf.DUMMYFUNCTION("STDEV(FILTER(Tabla_2[Costo_Total],Tabla_2[Instancia]=$B47,Tabla_2[Configuracion]=$K$5,Tabla_2[Num_Pistas]=3))"),0.0)</f>
        <v>0</v>
      </c>
      <c r="N47" s="24">
        <f>AVERAGEIFS(Tabla_2[Tiempo],Tabla_2[Instancia],$B47,Tabla_2[Configuracion],$K$5,Tabla_2[Num_Pistas],3)</f>
        <v>6453.908889</v>
      </c>
      <c r="O47" s="22">
        <f>MINIFS(Tabla_2[Costo_Total],Tabla_2[Instancia],$B47,Tabla_2[Configuracion],$O$5,Tabla_2[Num_Pistas],3)</f>
        <v>115862</v>
      </c>
      <c r="P47" s="23">
        <f>AVERAGEIFS(Tabla_2[Costo_Total],Tabla_2[Instancia],B47,Tabla_2[Configuracion],O$5,Tabla_2[Num_Pistas],3)</f>
        <v>115862</v>
      </c>
      <c r="Q47" s="23">
        <f>IFERROR(__xludf.DUMMYFUNCTION("STDEV(FILTER(Tabla_2[Costo_Total],Tabla_2[Instancia]=$B47,Tabla_2[Configuracion]=$O$5,Tabla_2[Num_Pistas]=3))"),0.0)</f>
        <v>0</v>
      </c>
      <c r="R47" s="24">
        <f>AVERAGEIFS(Tabla_2[Tiempo],Tabla_2[Instancia],$B47,Tabla_2[Configuracion],$O$5,Tabla_2[Num_Pistas],3)</f>
        <v>943.626</v>
      </c>
      <c r="S47" s="25">
        <f t="shared" si="21"/>
        <v>115862</v>
      </c>
      <c r="U47" s="27">
        <f t="shared" si="22"/>
        <v>0.3366677599</v>
      </c>
      <c r="AF47" s="25">
        <f t="shared" si="18"/>
        <v>27943.56</v>
      </c>
      <c r="AG47" s="25">
        <f t="shared" si="19"/>
        <v>27943.56</v>
      </c>
      <c r="AH47" s="31">
        <f t="shared" si="20"/>
        <v>0</v>
      </c>
      <c r="AJ47" s="20" t="s">
        <v>28</v>
      </c>
      <c r="AK47" s="21">
        <v>1.0</v>
      </c>
      <c r="AL47" s="20" t="s">
        <v>2</v>
      </c>
      <c r="AM47" s="20" t="s">
        <v>30</v>
      </c>
      <c r="AN47" s="21">
        <v>1924.0</v>
      </c>
      <c r="AO47" s="21">
        <v>10.0</v>
      </c>
      <c r="AP47" s="20">
        <v>1720.0</v>
      </c>
      <c r="AQ47" s="20">
        <v>0.66</v>
      </c>
    </row>
    <row r="48" ht="22.5" customHeight="1">
      <c r="B48" s="32" t="s">
        <v>57</v>
      </c>
      <c r="C48" s="22">
        <f>MINIFS(Tabla_2[Costo_Total],Tabla_2[Instancia],$B48,Tabla_2[Configuracion],$C$5,Tabla_2[Num_Pistas],3)</f>
        <v>123736</v>
      </c>
      <c r="D48" s="23">
        <f>AVERAGEIFS(Tabla_2[Costo_Total],Tabla_2[Instancia],B48,Tabla_2[Configuracion],C$5,Tabla_2[Num_Pistas],3)</f>
        <v>123736</v>
      </c>
      <c r="E48" s="23">
        <f>IFERROR(__xludf.DUMMYFUNCTION("STDEV(FILTER(Tabla_2[Costo_Total],Tabla_2[Instancia]=$B48,Tabla_2[Configuracion]=$C$5,Tabla_2[Num_Pistas]=3))"),0.0)</f>
        <v>0</v>
      </c>
      <c r="F48" s="24">
        <f>AVERAGEIFS(Tabla_2[Tiempo],Tabla_2[Instancia],$B48,Tabla_2[Configuracion],$C$5,Tabla_2[Num_Pistas],3)</f>
        <v>918.656</v>
      </c>
      <c r="G48" s="22">
        <f>MINIFS(Tabla_2[Costo_Total],Tabla_2[Instancia],$B48,Tabla_2[Configuracion],$G$5,Tabla_2[Num_Pistas],3)</f>
        <v>123736</v>
      </c>
      <c r="H48" s="23">
        <f>AVERAGEIFS(Tabla_2[Costo_Total],Tabla_2[Instancia],B48,Tabla_2[Configuracion],G$5,Tabla_2[Num_Pistas],3)</f>
        <v>123736</v>
      </c>
      <c r="I48" s="23">
        <f>IFERROR(__xludf.DUMMYFUNCTION("STDEV(FILTER(Tabla_2[Costo_Total],Tabla_2[Instancia]=$B48,Tabla_2[Configuracion]=$G$5,Tabla_2[Num_Pistas]=3))"),0.0)</f>
        <v>0</v>
      </c>
      <c r="J48" s="24">
        <f>AVERAGEIFS(Tabla_2[Tiempo],Tabla_2[Instancia],$B48,Tabla_2[Configuracion],$G$5, Tabla_2[Num_Pistas],3)</f>
        <v>933.066</v>
      </c>
      <c r="K48" s="22">
        <f>MINIFS(Tabla_2[Costo_Total],Tabla_2[Instancia],$B48,Tabla_2[Configuracion],$K$5,Tabla_2[Num_Pistas],3)</f>
        <v>123736</v>
      </c>
      <c r="L48" s="23">
        <f>AVERAGEIFS(Tabla_2[Costo_Total],Tabla_2[Instancia],B48,Tabla_2[Configuracion],K$5,Tabla_2[Num_Pistas],3)</f>
        <v>123736</v>
      </c>
      <c r="M48" s="23">
        <f>IFERROR(__xludf.DUMMYFUNCTION("STDEV(FILTER(Tabla_2[Costo_Total],Tabla_2[Instancia]=$B48,Tabla_2[Configuracion]=$K$5,Tabla_2[Num_Pistas]=3))"),0.0)</f>
        <v>0</v>
      </c>
      <c r="N48" s="24">
        <f>AVERAGEIFS(Tabla_2[Tiempo],Tabla_2[Instancia],$B48,Tabla_2[Configuracion],$K$5,Tabla_2[Num_Pistas],3)</f>
        <v>911.157</v>
      </c>
      <c r="O48" s="22">
        <f>MINIFS(Tabla_2[Costo_Total],Tabla_2[Instancia],$B48,Tabla_2[Configuracion],$O$5,Tabla_2[Num_Pistas],3)</f>
        <v>123736</v>
      </c>
      <c r="P48" s="23">
        <f>AVERAGEIFS(Tabla_2[Costo_Total],Tabla_2[Instancia],B48,Tabla_2[Configuracion],O$5,Tabla_2[Num_Pistas],3)</f>
        <v>123736</v>
      </c>
      <c r="Q48" s="23">
        <f>IFERROR(__xludf.DUMMYFUNCTION("STDEV(FILTER(Tabla_2[Costo_Total],Tabla_2[Instancia]=$B48,Tabla_2[Configuracion]=$O$5,Tabla_2[Num_Pistas]=3))"),0.0)</f>
        <v>0</v>
      </c>
      <c r="R48" s="24">
        <f>AVERAGEIFS(Tabla_2[Tiempo],Tabla_2[Instancia],$B48,Tabla_2[Configuracion],$O$5,Tabla_2[Num_Pistas],3)</f>
        <v>931.564</v>
      </c>
      <c r="S48" s="25">
        <f t="shared" si="21"/>
        <v>123736</v>
      </c>
      <c r="U48" s="27">
        <f t="shared" si="22"/>
        <v>0.3457118381</v>
      </c>
      <c r="AJ48" s="20" t="s">
        <v>28</v>
      </c>
      <c r="AK48" s="21">
        <v>1.0</v>
      </c>
      <c r="AL48" s="20" t="s">
        <v>5</v>
      </c>
      <c r="AM48" s="20" t="s">
        <v>30</v>
      </c>
      <c r="AN48" s="21">
        <v>2948.0</v>
      </c>
      <c r="AO48" s="21">
        <v>20.0</v>
      </c>
      <c r="AP48" s="20">
        <v>1720.0</v>
      </c>
      <c r="AQ48" s="20">
        <v>0.68</v>
      </c>
    </row>
    <row r="49" ht="22.5" customHeight="1">
      <c r="AJ49" s="20" t="s">
        <v>28</v>
      </c>
      <c r="AK49" s="21">
        <v>1.0</v>
      </c>
      <c r="AL49" s="20" t="s">
        <v>5</v>
      </c>
      <c r="AM49" s="20" t="s">
        <v>30</v>
      </c>
      <c r="AN49" s="21">
        <v>66436.0</v>
      </c>
      <c r="AO49" s="21">
        <v>20.0</v>
      </c>
      <c r="AP49" s="20">
        <v>2030.0</v>
      </c>
      <c r="AQ49" s="20">
        <v>0.68</v>
      </c>
    </row>
    <row r="50" ht="22.5" customHeight="1">
      <c r="B50" s="7" t="s">
        <v>62</v>
      </c>
      <c r="C50" s="8" t="s">
        <v>2</v>
      </c>
      <c r="D50" s="9"/>
      <c r="E50" s="9"/>
      <c r="F50" s="10"/>
      <c r="G50" s="11" t="s">
        <v>3</v>
      </c>
      <c r="H50" s="12"/>
      <c r="I50" s="12"/>
      <c r="J50" s="13"/>
      <c r="K50" s="11" t="s">
        <v>4</v>
      </c>
      <c r="L50" s="12"/>
      <c r="M50" s="12"/>
      <c r="N50" s="13"/>
      <c r="O50" s="11" t="s">
        <v>5</v>
      </c>
      <c r="P50" s="12"/>
      <c r="Q50" s="12"/>
      <c r="R50" s="13"/>
      <c r="AJ50" s="20" t="s">
        <v>28</v>
      </c>
      <c r="AK50" s="21">
        <v>1.0</v>
      </c>
      <c r="AL50" s="20" t="s">
        <v>5</v>
      </c>
      <c r="AM50" s="20" t="s">
        <v>30</v>
      </c>
      <c r="AN50" s="21">
        <v>4996.0</v>
      </c>
      <c r="AO50" s="21">
        <v>20.0</v>
      </c>
      <c r="AP50" s="20">
        <v>1720.0</v>
      </c>
      <c r="AQ50" s="20">
        <v>0.69</v>
      </c>
    </row>
    <row r="51" ht="22.5" customHeight="1">
      <c r="B51" s="32" t="s">
        <v>14</v>
      </c>
      <c r="C51" s="16" t="s">
        <v>15</v>
      </c>
      <c r="D51" s="17" t="s">
        <v>16</v>
      </c>
      <c r="E51" s="17" t="s">
        <v>17</v>
      </c>
      <c r="F51" s="18" t="s">
        <v>18</v>
      </c>
      <c r="G51" s="16" t="s">
        <v>15</v>
      </c>
      <c r="H51" s="17" t="s">
        <v>16</v>
      </c>
      <c r="I51" s="17" t="s">
        <v>17</v>
      </c>
      <c r="J51" s="18" t="s">
        <v>18</v>
      </c>
      <c r="K51" s="16" t="s">
        <v>15</v>
      </c>
      <c r="L51" s="17" t="s">
        <v>16</v>
      </c>
      <c r="M51" s="17" t="s">
        <v>17</v>
      </c>
      <c r="N51" s="18" t="s">
        <v>18</v>
      </c>
      <c r="O51" s="16" t="s">
        <v>15</v>
      </c>
      <c r="P51" s="17" t="s">
        <v>16</v>
      </c>
      <c r="Q51" s="17" t="s">
        <v>17</v>
      </c>
      <c r="R51" s="18" t="s">
        <v>18</v>
      </c>
      <c r="S51" s="19" t="s">
        <v>15</v>
      </c>
      <c r="U51" s="19" t="s">
        <v>63</v>
      </c>
      <c r="AJ51" s="20" t="s">
        <v>28</v>
      </c>
      <c r="AK51" s="21">
        <v>1.0</v>
      </c>
      <c r="AL51" s="20" t="s">
        <v>5</v>
      </c>
      <c r="AM51" s="20" t="s">
        <v>30</v>
      </c>
      <c r="AN51" s="21">
        <v>131972.0</v>
      </c>
      <c r="AO51" s="21">
        <v>20.0</v>
      </c>
      <c r="AP51" s="20">
        <v>2030.0</v>
      </c>
      <c r="AQ51" s="20">
        <v>0.71</v>
      </c>
    </row>
    <row r="52" ht="22.5" customHeight="1">
      <c r="B52" s="33" t="s">
        <v>46</v>
      </c>
      <c r="C52" s="22">
        <f>MINIFS(Tabla_2[Costo_Total],Tabla_2[Instancia],$B52,Tabla_2[Configuracion],$C$5,Tabla_2[Num_Pistas],4)</f>
        <v>73127</v>
      </c>
      <c r="D52" s="23">
        <f>AVERAGEIFS(Tabla_2[Costo_Total],Tabla_2[Instancia],B52,Tabla_2[Configuracion],C$5,Tabla_2[Num_Pistas],4)</f>
        <v>73127</v>
      </c>
      <c r="E52" s="23">
        <f>IFERROR(__xludf.DUMMYFUNCTION("STDEV(FILTER(Tabla_2[Costo_Total],Tabla_2[Instancia]=$B52,Tabla_2[Configuracion]=$C$5,Tabla_2[Num_Pistas]=4))"),0.0)</f>
        <v>0</v>
      </c>
      <c r="F52" s="24">
        <f>AVERAGEIFS(Tabla_2[Tiempo],Tabla_2[Instancia],$B52,Tabla_2[Configuracion],$C$5,Tabla_2[Num_Pistas],4)</f>
        <v>1090.626</v>
      </c>
      <c r="G52" s="22">
        <f>MINIFS(Tabla_2[Costo_Total],Tabla_2[Instancia],$B52,Tabla_2[Configuracion],$G$5,Tabla_2[Num_Pistas],4)</f>
        <v>73127</v>
      </c>
      <c r="H52" s="23">
        <f>AVERAGEIFS(Tabla_2[Costo_Total],Tabla_2[Instancia],B52,Tabla_2[Configuracion],G$5,Tabla_2[Num_Pistas],4)</f>
        <v>73127</v>
      </c>
      <c r="I52" s="23">
        <f>IFERROR(__xludf.DUMMYFUNCTION("STDEV(FILTER(Tabla_2[Costo_Total],Tabla_2[Instancia]=$B52,Tabla_2[Configuracion]=$G$5,Tabla_2[Num_Pistas]=4))"),0.0)</f>
        <v>0</v>
      </c>
      <c r="J52" s="24">
        <f>AVERAGEIFS(Tabla_2[Tiempo],Tabla_2[Instancia],$B52,Tabla_2[Configuracion],$G$5, Tabla_2[Num_Pistas],4)</f>
        <v>1100.15</v>
      </c>
      <c r="K52" s="22">
        <f>MINIFS(Tabla_2[Costo_Total],Tabla_2[Instancia],$B52,Tabla_2[Configuracion],$K$5,Tabla_2[Num_Pistas],4)</f>
        <v>73127</v>
      </c>
      <c r="L52" s="23">
        <f>AVERAGEIFS(Tabla_2[Costo_Total],Tabla_2[Instancia],B52,Tabla_2[Configuracion],K$5,Tabla_2[Num_Pistas],4)</f>
        <v>73127</v>
      </c>
      <c r="M52" s="23">
        <f>IFERROR(__xludf.DUMMYFUNCTION("STDEV(FILTER(Tabla_2[Costo_Total],Tabla_2[Instancia]=$B52,Tabla_2[Configuracion]=$K$5,Tabla_2[Num_Pistas]=4))"),0.0)</f>
        <v>0</v>
      </c>
      <c r="N52" s="24">
        <f>AVERAGEIFS(Tabla_2[Tiempo],Tabla_2[Instancia],$B52,Tabla_2[Configuracion],$K$5,Tabla_2[Num_Pistas],4)</f>
        <v>1291.656</v>
      </c>
      <c r="O52" s="22">
        <f>MINIFS(Tabla_2[Costo_Total],Tabla_2[Instancia],$B52,Tabla_2[Configuracion],$O$5,Tabla_2[Num_Pistas],4)</f>
        <v>73127</v>
      </c>
      <c r="P52" s="23">
        <f>AVERAGEIFS(Tabla_2[Costo_Total],Tabla_2[Instancia],B52,Tabla_2[Configuracion],O$5,Tabla_2[Num_Pistas],4)</f>
        <v>73127</v>
      </c>
      <c r="Q52" s="23">
        <f>IFERROR(__xludf.DUMMYFUNCTION("STDEV(FILTER(Tabla_2[Costo_Total],Tabla_2[Instancia]=$B52,Tabla_2[Configuracion]=$O$5,Tabla_2[Num_Pistas]=4))"),0.0)</f>
        <v>0</v>
      </c>
      <c r="R52" s="24">
        <f>AVERAGEIFS(Tabla_2[Tiempo],Tabla_2[Instancia],$B52,Tabla_2[Configuracion],$O$5,Tabla_2[Num_Pistas],4)</f>
        <v>6649.581111</v>
      </c>
      <c r="S52" s="25">
        <f t="shared" ref="S52:S63" si="23">O52</f>
        <v>73127</v>
      </c>
      <c r="U52" s="27">
        <f t="shared" ref="U52:U63" si="24">(S52-S67)/S52</f>
        <v>0.276163387</v>
      </c>
      <c r="AJ52" s="20" t="s">
        <v>28</v>
      </c>
      <c r="AK52" s="21">
        <v>1.0</v>
      </c>
      <c r="AL52" s="20" t="s">
        <v>3</v>
      </c>
      <c r="AM52" s="20" t="s">
        <v>30</v>
      </c>
      <c r="AN52" s="21">
        <v>2948.0</v>
      </c>
      <c r="AO52" s="21">
        <v>20.0</v>
      </c>
      <c r="AP52" s="20">
        <v>1720.0</v>
      </c>
      <c r="AQ52" s="20">
        <v>0.73</v>
      </c>
    </row>
    <row r="53" ht="22.5" customHeight="1">
      <c r="B53" s="32" t="s">
        <v>47</v>
      </c>
      <c r="C53" s="22">
        <f>MINIFS(Tabla_2[Costo_Total],Tabla_2[Instancia],$B53,Tabla_2[Configuracion],$C$5,Tabla_2[Num_Pistas],4)</f>
        <v>76359</v>
      </c>
      <c r="D53" s="23">
        <f>AVERAGEIFS(Tabla_2[Costo_Total],Tabla_2[Instancia],B53,Tabla_2[Configuracion],C$5,Tabla_2[Num_Pistas],4)</f>
        <v>76359</v>
      </c>
      <c r="E53" s="23">
        <f>IFERROR(__xludf.DUMMYFUNCTION("STDEV(FILTER(Tabla_2[Costo_Total],Tabla_2[Instancia]=$B53,Tabla_2[Configuracion]=$C$5,Tabla_2[Num_Pistas]=4))"),0.0)</f>
        <v>0</v>
      </c>
      <c r="F53" s="24">
        <f>AVERAGEIFS(Tabla_2[Tiempo],Tabla_2[Instancia],$B53,Tabla_2[Configuracion],$C$5,Tabla_2[Num_Pistas],4)</f>
        <v>13562.1475</v>
      </c>
      <c r="G53" s="22">
        <f>MINIFS(Tabla_2[Costo_Total],Tabla_2[Instancia],$B53,Tabla_2[Configuracion],$G$5,Tabla_2[Num_Pistas],4)</f>
        <v>76359</v>
      </c>
      <c r="H53" s="23">
        <f>AVERAGEIFS(Tabla_2[Costo_Total],Tabla_2[Instancia],B53,Tabla_2[Configuracion],G$5,Tabla_2[Num_Pistas],4)</f>
        <v>76359</v>
      </c>
      <c r="I53" s="23">
        <f>IFERROR(__xludf.DUMMYFUNCTION("STDEV(FILTER(Tabla_2[Costo_Total],Tabla_2[Instancia]=$B53,Tabla_2[Configuracion]=$G$5,Tabla_2[Num_Pistas]=4))"),0.0)</f>
        <v>0</v>
      </c>
      <c r="J53" s="24">
        <f>AVERAGEIFS(Tabla_2[Tiempo],Tabla_2[Instancia],$B53,Tabla_2[Configuracion],$G$5, Tabla_2[Num_Pistas],4)</f>
        <v>13601.5225</v>
      </c>
      <c r="K53" s="22">
        <f>MINIFS(Tabla_2[Costo_Total],Tabla_2[Instancia],$B53,Tabla_2[Configuracion],$K$5,Tabla_2[Num_Pistas],4)</f>
        <v>76359</v>
      </c>
      <c r="L53" s="23">
        <f>AVERAGEIFS(Tabla_2[Costo_Total],Tabla_2[Instancia],B53,Tabla_2[Configuracion],K$5,Tabla_2[Num_Pistas],4)</f>
        <v>76359</v>
      </c>
      <c r="M53" s="23">
        <f>IFERROR(__xludf.DUMMYFUNCTION("STDEV(FILTER(Tabla_2[Costo_Total],Tabla_2[Instancia]=$B53,Tabla_2[Configuracion]=$K$5,Tabla_2[Num_Pistas]=4))"),0.0)</f>
        <v>0</v>
      </c>
      <c r="N53" s="24">
        <f>AVERAGEIFS(Tabla_2[Tiempo],Tabla_2[Instancia],$B53,Tabla_2[Configuracion],$K$5,Tabla_2[Num_Pistas],4)</f>
        <v>6277.888</v>
      </c>
      <c r="O53" s="22">
        <f>MINIFS(Tabla_2[Costo_Total],Tabla_2[Instancia],$B53,Tabla_2[Configuracion],$O$5,Tabla_2[Num_Pistas],4)</f>
        <v>76359</v>
      </c>
      <c r="P53" s="23">
        <f>AVERAGEIFS(Tabla_2[Costo_Total],Tabla_2[Instancia],B53,Tabla_2[Configuracion],O$5,Tabla_2[Num_Pistas],4)</f>
        <v>76359</v>
      </c>
      <c r="Q53" s="23">
        <f>IFERROR(__xludf.DUMMYFUNCTION("STDEV(FILTER(Tabla_2[Costo_Total],Tabla_2[Instancia]=$B53,Tabla_2[Configuracion]=$O$5,Tabla_2[Num_Pistas]=4))"),0.0)</f>
        <v>0</v>
      </c>
      <c r="R53" s="24">
        <f>AVERAGEIFS(Tabla_2[Tiempo],Tabla_2[Instancia],$B53,Tabla_2[Configuracion],$O$5,Tabla_2[Num_Pistas],4)</f>
        <v>1102.656</v>
      </c>
      <c r="S53" s="25">
        <f t="shared" si="23"/>
        <v>76359</v>
      </c>
      <c r="U53" s="27">
        <f t="shared" si="24"/>
        <v>0.2817611545</v>
      </c>
      <c r="AJ53" s="20" t="s">
        <v>28</v>
      </c>
      <c r="AK53" s="21">
        <v>1.0</v>
      </c>
      <c r="AL53" s="20" t="s">
        <v>3</v>
      </c>
      <c r="AM53" s="20" t="s">
        <v>30</v>
      </c>
      <c r="AN53" s="21">
        <v>1156.0</v>
      </c>
      <c r="AO53" s="21">
        <v>20.0</v>
      </c>
      <c r="AP53" s="20">
        <v>1720.0</v>
      </c>
      <c r="AQ53" s="20">
        <v>0.74</v>
      </c>
    </row>
    <row r="54" ht="22.5" customHeight="1">
      <c r="B54" s="32" t="s">
        <v>48</v>
      </c>
      <c r="C54" s="22">
        <f>MINIFS(Tabla_2[Costo_Total],Tabla_2[Instancia],$B54,Tabla_2[Configuracion],$C$5,Tabla_2[Num_Pistas],4)</f>
        <v>75248</v>
      </c>
      <c r="D54" s="23">
        <f>AVERAGEIFS(Tabla_2[Costo_Total],Tabla_2[Instancia],B54,Tabla_2[Configuracion],C$5,Tabla_2[Num_Pistas],4)</f>
        <v>75248</v>
      </c>
      <c r="E54" s="23">
        <f>IFERROR(__xludf.DUMMYFUNCTION("STDEV(FILTER(Tabla_2[Costo_Total],Tabla_2[Instancia]=$B54,Tabla_2[Configuracion]=$C$5,Tabla_2[Num_Pistas]=4))"),0.0)</f>
        <v>0</v>
      </c>
      <c r="F54" s="24">
        <f>AVERAGEIFS(Tabla_2[Tiempo],Tabla_2[Instancia],$B54,Tabla_2[Configuracion],$C$5,Tabla_2[Num_Pistas],4)</f>
        <v>1119.91</v>
      </c>
      <c r="G54" s="22">
        <f>MINIFS(Tabla_2[Costo_Total],Tabla_2[Instancia],$B54,Tabla_2[Configuracion],$G$5,Tabla_2[Num_Pistas],4)</f>
        <v>75248</v>
      </c>
      <c r="H54" s="23">
        <f>AVERAGEIFS(Tabla_2[Costo_Total],Tabla_2[Instancia],B54,Tabla_2[Configuracion],G$5,Tabla_2[Num_Pistas],4)</f>
        <v>75248</v>
      </c>
      <c r="I54" s="23">
        <f>IFERROR(__xludf.DUMMYFUNCTION("STDEV(FILTER(Tabla_2[Costo_Total],Tabla_2[Instancia]=$B54,Tabla_2[Configuracion]=$G$5,Tabla_2[Num_Pistas]=4))"),0.0)</f>
        <v>0</v>
      </c>
      <c r="J54" s="24">
        <f>AVERAGEIFS(Tabla_2[Tiempo],Tabla_2[Instancia],$B54,Tabla_2[Configuracion],$G$5, Tabla_2[Num_Pistas],4)</f>
        <v>1106.37</v>
      </c>
      <c r="K54" s="22">
        <f>MINIFS(Tabla_2[Costo_Total],Tabla_2[Instancia],$B54,Tabla_2[Configuracion],$K$5,Tabla_2[Num_Pistas],4)</f>
        <v>75248</v>
      </c>
      <c r="L54" s="23">
        <f>AVERAGEIFS(Tabla_2[Costo_Total],Tabla_2[Instancia],B54,Tabla_2[Configuracion],K$5,Tabla_2[Num_Pistas],4)</f>
        <v>75248</v>
      </c>
      <c r="M54" s="23">
        <f>IFERROR(__xludf.DUMMYFUNCTION("STDEV(FILTER(Tabla_2[Costo_Total],Tabla_2[Instancia]=$B54,Tabla_2[Configuracion]=$K$5,Tabla_2[Num_Pistas]=4))"),0.0)</f>
        <v>0</v>
      </c>
      <c r="N54" s="24">
        <f>AVERAGEIFS(Tabla_2[Tiempo],Tabla_2[Instancia],$B54,Tabla_2[Configuracion],$K$5,Tabla_2[Num_Pistas],4)</f>
        <v>1276.452</v>
      </c>
      <c r="O54" s="22">
        <f>MINIFS(Tabla_2[Costo_Total],Tabla_2[Instancia],$B54,Tabla_2[Configuracion],$O$5,Tabla_2[Num_Pistas],4)</f>
        <v>75248</v>
      </c>
      <c r="P54" s="23">
        <f>AVERAGEIFS(Tabla_2[Costo_Total],Tabla_2[Instancia],B54,Tabla_2[Configuracion],O$5,Tabla_2[Num_Pistas],4)</f>
        <v>75248</v>
      </c>
      <c r="Q54" s="23">
        <f>IFERROR(__xludf.DUMMYFUNCTION("STDEV(FILTER(Tabla_2[Costo_Total],Tabla_2[Instancia]=$B54,Tabla_2[Configuracion]=$O$5,Tabla_2[Num_Pistas]=4))"),0.0)</f>
        <v>0</v>
      </c>
      <c r="R54" s="24">
        <f>AVERAGEIFS(Tabla_2[Tiempo],Tabla_2[Instancia],$B54,Tabla_2[Configuracion],$O$5,Tabla_2[Num_Pistas],4)</f>
        <v>1087.864</v>
      </c>
      <c r="S54" s="25">
        <f t="shared" si="23"/>
        <v>75248</v>
      </c>
      <c r="U54" s="27">
        <f t="shared" si="24"/>
        <v>0.2817882203</v>
      </c>
      <c r="AJ54" s="20" t="s">
        <v>28</v>
      </c>
      <c r="AK54" s="21">
        <v>1.0</v>
      </c>
      <c r="AL54" s="20" t="s">
        <v>3</v>
      </c>
      <c r="AM54" s="20" t="s">
        <v>30</v>
      </c>
      <c r="AN54" s="21">
        <v>1924.0</v>
      </c>
      <c r="AO54" s="21">
        <v>20.0</v>
      </c>
      <c r="AP54" s="20">
        <v>1720.0</v>
      </c>
      <c r="AQ54" s="20">
        <v>0.74</v>
      </c>
    </row>
    <row r="55" ht="22.5" customHeight="1">
      <c r="B55" s="32" t="s">
        <v>49</v>
      </c>
      <c r="C55" s="22">
        <f>MINIFS(Tabla_2[Costo_Total],Tabla_2[Instancia],$B55,Tabla_2[Configuracion],$C$5,Tabla_2[Num_Pistas],4)</f>
        <v>79757</v>
      </c>
      <c r="D55" s="23">
        <f>AVERAGEIFS(Tabla_2[Costo_Total],Tabla_2[Instancia],B55,Tabla_2[Configuracion],C$5,Tabla_2[Num_Pistas],4)</f>
        <v>79762.6</v>
      </c>
      <c r="E55" s="23">
        <f>IFERROR(__xludf.DUMMYFUNCTION("STDEV(FILTER(Tabla_2[Costo_Total],Tabla_2[Instancia]=$B55,Tabla_2[Configuracion]=$C$5,Tabla_2[Num_Pistas]=4))"),12.521980673999229)</f>
        <v>12.52198067</v>
      </c>
      <c r="F55" s="24">
        <f>AVERAGEIFS(Tabla_2[Tiempo],Tabla_2[Instancia],$B55,Tabla_2[Configuracion],$C$5,Tabla_2[Num_Pistas],4)</f>
        <v>10969.528</v>
      </c>
      <c r="G55" s="22">
        <f>MINIFS(Tabla_2[Costo_Total],Tabla_2[Instancia],$B55,Tabla_2[Configuracion],$G$5,Tabla_2[Num_Pistas],4)</f>
        <v>79757</v>
      </c>
      <c r="H55" s="23">
        <f>AVERAGEIFS(Tabla_2[Costo_Total],Tabla_2[Instancia],B55,Tabla_2[Configuracion],G$5,Tabla_2[Num_Pistas],4)</f>
        <v>79762.6</v>
      </c>
      <c r="I55" s="23">
        <f>IFERROR(__xludf.DUMMYFUNCTION("STDEV(FILTER(Tabla_2[Costo_Total],Tabla_2[Instancia]=$B55,Tabla_2[Configuracion]=$G$5,Tabla_2[Num_Pistas]=4))"),12.521980673999229)</f>
        <v>12.52198067</v>
      </c>
      <c r="J55" s="24">
        <f>AVERAGEIFS(Tabla_2[Tiempo],Tabla_2[Instancia],$B55,Tabla_2[Configuracion],$G$5, Tabla_2[Num_Pistas],4)</f>
        <v>1016.412</v>
      </c>
      <c r="K55" s="22">
        <f>MINIFS(Tabla_2[Costo_Total],Tabla_2[Instancia],$B55,Tabla_2[Configuracion],$K$5,Tabla_2[Num_Pistas],4)</f>
        <v>79757</v>
      </c>
      <c r="L55" s="23">
        <f>AVERAGEIFS(Tabla_2[Costo_Total],Tabla_2[Instancia],B55,Tabla_2[Configuracion],K$5,Tabla_2[Num_Pistas],4)</f>
        <v>79759.8</v>
      </c>
      <c r="M55" s="23">
        <f>IFERROR(__xludf.DUMMYFUNCTION("STDEV(FILTER(Tabla_2[Costo_Total],Tabla_2[Instancia]=$B55,Tabla_2[Configuracion]=$K$5,Tabla_2[Num_Pistas]=4))"),8.854377448471455)</f>
        <v>8.854377448</v>
      </c>
      <c r="N55" s="24">
        <f>AVERAGEIFS(Tabla_2[Tiempo],Tabla_2[Instancia],$B55,Tabla_2[Configuracion],$K$5,Tabla_2[Num_Pistas],4)</f>
        <v>1182.193</v>
      </c>
      <c r="O55" s="22">
        <f>MINIFS(Tabla_2[Costo_Total],Tabla_2[Instancia],$B55,Tabla_2[Configuracion],$O$5,Tabla_2[Num_Pistas],4)</f>
        <v>79757</v>
      </c>
      <c r="P55" s="23">
        <f>AVERAGEIFS(Tabla_2[Costo_Total],Tabla_2[Instancia],B55,Tabla_2[Configuracion],O$5,Tabla_2[Num_Pistas],4)</f>
        <v>79759.8</v>
      </c>
      <c r="Q55" s="23">
        <f>IFERROR(__xludf.DUMMYFUNCTION("STDEV(FILTER(Tabla_2[Costo_Total],Tabla_2[Instancia]=$B55,Tabla_2[Configuracion]=$O$5,Tabla_2[Num_Pistas]=4))"),8.854377448470725)</f>
        <v>8.854377448</v>
      </c>
      <c r="R55" s="24">
        <f>AVERAGEIFS(Tabla_2[Tiempo],Tabla_2[Instancia],$B55,Tabla_2[Configuracion],$O$5,Tabla_2[Num_Pistas],4)</f>
        <v>5992.648</v>
      </c>
      <c r="S55" s="25">
        <f t="shared" si="23"/>
        <v>79757</v>
      </c>
      <c r="U55" s="27">
        <f t="shared" si="24"/>
        <v>0.2827212658</v>
      </c>
      <c r="AJ55" s="20" t="s">
        <v>28</v>
      </c>
      <c r="AK55" s="21">
        <v>1.0</v>
      </c>
      <c r="AL55" s="20" t="s">
        <v>5</v>
      </c>
      <c r="AM55" s="20" t="s">
        <v>30</v>
      </c>
      <c r="AN55" s="21">
        <v>1412.0</v>
      </c>
      <c r="AO55" s="21">
        <v>20.0</v>
      </c>
      <c r="AP55" s="20">
        <v>2030.0</v>
      </c>
      <c r="AQ55" s="20">
        <v>0.75</v>
      </c>
    </row>
    <row r="56" ht="22.5" customHeight="1">
      <c r="B56" s="32" t="s">
        <v>50</v>
      </c>
      <c r="C56" s="22">
        <f>MINIFS(Tabla_2[Costo_Total],Tabla_2[Instancia],$B56,Tabla_2[Configuracion],$C$5,Tabla_2[Num_Pistas],4)</f>
        <v>76425</v>
      </c>
      <c r="D56" s="23">
        <f>AVERAGEIFS(Tabla_2[Costo_Total],Tabla_2[Instancia],B56,Tabla_2[Configuracion],C$5,Tabla_2[Num_Pistas],4)</f>
        <v>76451</v>
      </c>
      <c r="E56" s="23">
        <f>IFERROR(__xludf.DUMMYFUNCTION("STDEV(FILTER(Tabla_2[Costo_Total],Tabla_2[Instancia]=$B56,Tabla_2[Configuracion]=$C$5,Tabla_2[Num_Pistas]=4))"),47.749345545253476)</f>
        <v>47.74934555</v>
      </c>
      <c r="F56" s="24">
        <f>AVERAGEIFS(Tabla_2[Tiempo],Tabla_2[Instancia],$B56,Tabla_2[Configuracion],$C$5,Tabla_2[Num_Pistas],4)</f>
        <v>1011.136</v>
      </c>
      <c r="G56" s="22">
        <f>MINIFS(Tabla_2[Costo_Total],Tabla_2[Instancia],$B56,Tabla_2[Configuracion],$G$5,Tabla_2[Num_Pistas],4)</f>
        <v>76425</v>
      </c>
      <c r="H56" s="23">
        <f>AVERAGEIFS(Tabla_2[Costo_Total],Tabla_2[Instancia],B56,Tabla_2[Configuracion],G$5,Tabla_2[Num_Pistas],4)</f>
        <v>76451</v>
      </c>
      <c r="I56" s="23">
        <f>IFERROR(__xludf.DUMMYFUNCTION("STDEV(FILTER(Tabla_2[Costo_Total],Tabla_2[Instancia]=$B56,Tabla_2[Configuracion]=$G$5,Tabla_2[Num_Pistas]=4))"),47.749345545253476)</f>
        <v>47.74934555</v>
      </c>
      <c r="J56" s="24">
        <f>AVERAGEIFS(Tabla_2[Tiempo],Tabla_2[Instancia],$B56,Tabla_2[Configuracion],$G$5, Tabla_2[Num_Pistas],4)</f>
        <v>1021.108</v>
      </c>
      <c r="K56" s="22">
        <f>MINIFS(Tabla_2[Costo_Total],Tabla_2[Instancia],$B56,Tabla_2[Configuracion],$K$5,Tabla_2[Num_Pistas],4)</f>
        <v>76425</v>
      </c>
      <c r="L56" s="23">
        <f>AVERAGEIFS(Tabla_2[Costo_Total],Tabla_2[Instancia],B56,Tabla_2[Configuracion],K$5,Tabla_2[Num_Pistas],4)</f>
        <v>76465.4</v>
      </c>
      <c r="M56" s="23">
        <f>IFERROR(__xludf.DUMMYFUNCTION("STDEV(FILTER(Tabla_2[Costo_Total],Tabla_2[Instancia]=$B56,Tabla_2[Configuracion]=$K$5,Tabla_2[Num_Pistas]=4))"),87.61937888136028)</f>
        <v>87.61937888</v>
      </c>
      <c r="N56" s="24">
        <f>AVERAGEIFS(Tabla_2[Tiempo],Tabla_2[Instancia],$B56,Tabla_2[Configuracion],$K$5,Tabla_2[Num_Pistas],4)</f>
        <v>1190.389</v>
      </c>
      <c r="O56" s="22">
        <f>MINIFS(Tabla_2[Costo_Total],Tabla_2[Instancia],$B56,Tabla_2[Configuracion],$O$5,Tabla_2[Num_Pistas],4)</f>
        <v>76425</v>
      </c>
      <c r="P56" s="23">
        <f>AVERAGEIFS(Tabla_2[Costo_Total],Tabla_2[Instancia],B56,Tabla_2[Configuracion],O$5,Tabla_2[Num_Pistas],4)</f>
        <v>76467.66667</v>
      </c>
      <c r="Q56" s="23">
        <f>IFERROR(__xludf.DUMMYFUNCTION("STDEV(FILTER(Tabla_2[Costo_Total],Tabla_2[Instancia]=$B56,Tabla_2[Configuracion]=$O$5,Tabla_2[Num_Pistas]=4))"),92.62289133902044)</f>
        <v>92.62289134</v>
      </c>
      <c r="R56" s="24">
        <f>AVERAGEIFS(Tabla_2[Tiempo],Tabla_2[Instancia],$B56,Tabla_2[Configuracion],$O$5,Tabla_2[Num_Pistas],4)</f>
        <v>1020.405556</v>
      </c>
      <c r="S56" s="25">
        <f t="shared" si="23"/>
        <v>76425</v>
      </c>
      <c r="U56" s="27">
        <f t="shared" si="24"/>
        <v>0.3053058554</v>
      </c>
      <c r="AJ56" s="20" t="s">
        <v>28</v>
      </c>
      <c r="AK56" s="21">
        <v>1.0</v>
      </c>
      <c r="AL56" s="20" t="s">
        <v>5</v>
      </c>
      <c r="AM56" s="20" t="s">
        <v>30</v>
      </c>
      <c r="AN56" s="21">
        <v>33668.0</v>
      </c>
      <c r="AO56" s="21">
        <v>20.0</v>
      </c>
      <c r="AP56" s="20">
        <v>1720.0</v>
      </c>
      <c r="AQ56" s="20">
        <v>0.76</v>
      </c>
    </row>
    <row r="57" ht="22.5" customHeight="1">
      <c r="B57" s="32" t="s">
        <v>51</v>
      </c>
      <c r="C57" s="22">
        <f>MINIFS(Tabla_2[Costo_Total],Tabla_2[Instancia],$B57,Tabla_2[Configuracion],$C$5,Tabla_2[Num_Pistas],4)</f>
        <v>72499</v>
      </c>
      <c r="D57" s="23">
        <f>AVERAGEIFS(Tabla_2[Costo_Total],Tabla_2[Instancia],B57,Tabla_2[Configuracion],C$5,Tabla_2[Num_Pistas],4)</f>
        <v>72518.2</v>
      </c>
      <c r="E57" s="23">
        <f>IFERROR(__xludf.DUMMYFUNCTION("STDEV(FILTER(Tabla_2[Costo_Total],Tabla_2[Instancia]=$B57,Tabla_2[Configuracion]=$C$5,Tabla_2[Num_Pistas]=4))"),42.93250516799677)</f>
        <v>42.93250517</v>
      </c>
      <c r="F57" s="24">
        <f>AVERAGEIFS(Tabla_2[Tiempo],Tabla_2[Instancia],$B57,Tabla_2[Configuracion],$C$5,Tabla_2[Num_Pistas],4)</f>
        <v>1057.78</v>
      </c>
      <c r="G57" s="22">
        <f>MINIFS(Tabla_2[Costo_Total],Tabla_2[Instancia],$B57,Tabla_2[Configuracion],$G$5,Tabla_2[Num_Pistas],4)</f>
        <v>72499</v>
      </c>
      <c r="H57" s="23">
        <f>AVERAGEIFS(Tabla_2[Costo_Total],Tabla_2[Instancia],B57,Tabla_2[Configuracion],G$5,Tabla_2[Num_Pistas],4)</f>
        <v>72523</v>
      </c>
      <c r="I57" s="23">
        <f>IFERROR(__xludf.DUMMYFUNCTION("STDEV(FILTER(Tabla_2[Costo_Total],Tabla_2[Instancia]=$B57,Tabla_2[Configuracion]=$G$5,Tabla_2[Num_Pistas]=4))"),48.0)</f>
        <v>48</v>
      </c>
      <c r="J57" s="24">
        <f>AVERAGEIFS(Tabla_2[Tiempo],Tabla_2[Instancia],$B57,Tabla_2[Configuracion],$G$5, Tabla_2[Num_Pistas],4)</f>
        <v>13546.9425</v>
      </c>
      <c r="K57" s="22">
        <f>MINIFS(Tabla_2[Costo_Total],Tabla_2[Instancia],$B57,Tabla_2[Configuracion],$K$5,Tabla_2[Num_Pistas],4)</f>
        <v>72499</v>
      </c>
      <c r="L57" s="23">
        <f>AVERAGEIFS(Tabla_2[Costo_Total],Tabla_2[Instancia],B57,Tabla_2[Configuracion],K$5,Tabla_2[Num_Pistas],4)</f>
        <v>72518.2</v>
      </c>
      <c r="M57" s="23">
        <f>IFERROR(__xludf.DUMMYFUNCTION("STDEV(FILTER(Tabla_2[Costo_Total],Tabla_2[Instancia]=$B57,Tabla_2[Configuracion]=$K$5,Tabla_2[Num_Pistas]=4))"),40.4771540501552)</f>
        <v>40.47715405</v>
      </c>
      <c r="N57" s="24">
        <f>AVERAGEIFS(Tabla_2[Tiempo],Tabla_2[Instancia],$B57,Tabla_2[Configuracion],$K$5,Tabla_2[Num_Pistas],4)</f>
        <v>1207.28</v>
      </c>
      <c r="O57" s="22">
        <f>MINIFS(Tabla_2[Costo_Total],Tabla_2[Instancia],$B57,Tabla_2[Configuracion],$O$5,Tabla_2[Num_Pistas],4)</f>
        <v>72499</v>
      </c>
      <c r="P57" s="23">
        <f>AVERAGEIFS(Tabla_2[Costo_Total],Tabla_2[Instancia],B57,Tabla_2[Configuracion],O$5,Tabla_2[Num_Pistas],4)</f>
        <v>72518.2</v>
      </c>
      <c r="Q57" s="23">
        <f>IFERROR(__xludf.DUMMYFUNCTION("STDEV(FILTER(Tabla_2[Costo_Total],Tabla_2[Instancia]=$B57,Tabla_2[Configuracion]=$O$5,Tabla_2[Num_Pistas]=4))"),40.477154050154404)</f>
        <v>40.47715405</v>
      </c>
      <c r="R57" s="24">
        <f>AVERAGEIFS(Tabla_2[Tiempo],Tabla_2[Instancia],$B57,Tabla_2[Configuracion],$O$5,Tabla_2[Num_Pistas],4)</f>
        <v>1030.605</v>
      </c>
      <c r="S57" s="25">
        <f t="shared" si="23"/>
        <v>72499</v>
      </c>
      <c r="U57" s="27">
        <f t="shared" si="24"/>
        <v>0.2865142967</v>
      </c>
      <c r="AJ57" s="20" t="s">
        <v>28</v>
      </c>
      <c r="AK57" s="21">
        <v>1.0</v>
      </c>
      <c r="AL57" s="20" t="s">
        <v>4</v>
      </c>
      <c r="AM57" s="20" t="s">
        <v>30</v>
      </c>
      <c r="AN57" s="21">
        <v>33668.0</v>
      </c>
      <c r="AO57" s="21">
        <v>10.0</v>
      </c>
      <c r="AP57" s="20">
        <v>1720.0</v>
      </c>
      <c r="AQ57" s="20">
        <v>0.8</v>
      </c>
    </row>
    <row r="58" ht="22.5" customHeight="1">
      <c r="B58" s="32" t="s">
        <v>52</v>
      </c>
      <c r="C58" s="22">
        <f>MINIFS(Tabla_2[Costo_Total],Tabla_2[Instancia],$B58,Tabla_2[Configuracion],$C$5,Tabla_2[Num_Pistas],4)</f>
        <v>72379</v>
      </c>
      <c r="D58" s="23">
        <f>AVERAGEIFS(Tabla_2[Costo_Total],Tabla_2[Instancia],B58,Tabla_2[Configuracion],C$5,Tabla_2[Num_Pistas],4)</f>
        <v>72379</v>
      </c>
      <c r="E58" s="23">
        <f>IFERROR(__xludf.DUMMYFUNCTION("STDEV(FILTER(Tabla_2[Costo_Total],Tabla_2[Instancia]=$B58,Tabla_2[Configuracion]=$C$5,Tabla_2[Num_Pistas]=4))"),0.0)</f>
        <v>0</v>
      </c>
      <c r="F58" s="24">
        <f>AVERAGEIFS(Tabla_2[Tiempo],Tabla_2[Instancia],$B58,Tabla_2[Configuracion],$C$5,Tabla_2[Num_Pistas],4)</f>
        <v>1082.446</v>
      </c>
      <c r="G58" s="22">
        <f>MINIFS(Tabla_2[Costo_Total],Tabla_2[Instancia],$B58,Tabla_2[Configuracion],$G$5,Tabla_2[Num_Pistas],4)</f>
        <v>72379</v>
      </c>
      <c r="H58" s="23">
        <f>AVERAGEIFS(Tabla_2[Costo_Total],Tabla_2[Instancia],B58,Tabla_2[Configuracion],G$5,Tabla_2[Num_Pistas],4)</f>
        <v>72379</v>
      </c>
      <c r="I58" s="23">
        <f>IFERROR(__xludf.DUMMYFUNCTION("STDEV(FILTER(Tabla_2[Costo_Total],Tabla_2[Instancia]=$B58,Tabla_2[Configuracion]=$G$5,Tabla_2[Num_Pistas]=4))"),0.0)</f>
        <v>0</v>
      </c>
      <c r="J58" s="24">
        <f>AVERAGEIFS(Tabla_2[Tiempo],Tabla_2[Instancia],$B58,Tabla_2[Configuracion],$G$5, Tabla_2[Num_Pistas],4)</f>
        <v>1095.516</v>
      </c>
      <c r="K58" s="22">
        <f>MINIFS(Tabla_2[Costo_Total],Tabla_2[Instancia],$B58,Tabla_2[Configuracion],$K$5,Tabla_2[Num_Pistas],4)</f>
        <v>72379</v>
      </c>
      <c r="L58" s="23">
        <f>AVERAGEIFS(Tabla_2[Costo_Total],Tabla_2[Instancia],B58,Tabla_2[Configuracion],K$5,Tabla_2[Num_Pistas],4)</f>
        <v>72379</v>
      </c>
      <c r="M58" s="23">
        <f>IFERROR(__xludf.DUMMYFUNCTION("STDEV(FILTER(Tabla_2[Costo_Total],Tabla_2[Instancia]=$B58,Tabla_2[Configuracion]=$K$5,Tabla_2[Num_Pistas]=4))"),0.0)</f>
        <v>0</v>
      </c>
      <c r="N58" s="24">
        <f>AVERAGEIFS(Tabla_2[Tiempo],Tabla_2[Instancia],$B58,Tabla_2[Configuracion],$K$5,Tabla_2[Num_Pistas],4)</f>
        <v>1276.949</v>
      </c>
      <c r="O58" s="22">
        <f>MINIFS(Tabla_2[Costo_Total],Tabla_2[Instancia],$B58,Tabla_2[Configuracion],$O$5,Tabla_2[Num_Pistas],4)</f>
        <v>72379</v>
      </c>
      <c r="P58" s="23">
        <f>AVERAGEIFS(Tabla_2[Costo_Total],Tabla_2[Instancia],B58,Tabla_2[Configuracion],O$5,Tabla_2[Num_Pistas],4)</f>
        <v>72379</v>
      </c>
      <c r="Q58" s="23">
        <f>IFERROR(__xludf.DUMMYFUNCTION("STDEV(FILTER(Tabla_2[Costo_Total],Tabla_2[Instancia]=$B58,Tabla_2[Configuracion]=$O$5,Tabla_2[Num_Pistas]=4))"),0.0)</f>
        <v>0</v>
      </c>
      <c r="R58" s="24">
        <f>AVERAGEIFS(Tabla_2[Tiempo],Tabla_2[Instancia],$B58,Tabla_2[Configuracion],$O$5,Tabla_2[Num_Pistas],4)</f>
        <v>1088.698</v>
      </c>
      <c r="S58" s="25">
        <f t="shared" si="23"/>
        <v>72379</v>
      </c>
      <c r="U58" s="27">
        <f t="shared" si="24"/>
        <v>0.3001561226</v>
      </c>
      <c r="AJ58" s="20" t="s">
        <v>28</v>
      </c>
      <c r="AK58" s="21">
        <v>1.0</v>
      </c>
      <c r="AL58" s="20" t="s">
        <v>5</v>
      </c>
      <c r="AM58" s="20" t="s">
        <v>30</v>
      </c>
      <c r="AN58" s="21">
        <v>1924.0</v>
      </c>
      <c r="AO58" s="21">
        <v>20.0</v>
      </c>
      <c r="AP58" s="20">
        <v>1720.0</v>
      </c>
      <c r="AQ58" s="20">
        <v>0.82</v>
      </c>
    </row>
    <row r="59" ht="22.5" customHeight="1">
      <c r="B59" s="32" t="s">
        <v>53</v>
      </c>
      <c r="C59" s="22">
        <f>MINIFS(Tabla_2[Costo_Total],Tabla_2[Instancia],$B59,Tabla_2[Configuracion],$C$5,Tabla_2[Num_Pistas],4)</f>
        <v>64698</v>
      </c>
      <c r="D59" s="23">
        <f>AVERAGEIFS(Tabla_2[Costo_Total],Tabla_2[Instancia],B59,Tabla_2[Configuracion],C$5,Tabla_2[Num_Pistas],4)</f>
        <v>64703.75</v>
      </c>
      <c r="E59" s="23">
        <f>IFERROR(__xludf.DUMMYFUNCTION("STDEV(FILTER(Tabla_2[Costo_Total],Tabla_2[Instancia]=$B59,Tabla_2[Configuracion]=$C$5,Tabla_2[Num_Pistas]=4))"),9.604686356148736)</f>
        <v>9.604686356</v>
      </c>
      <c r="F59" s="24">
        <f>AVERAGEIFS(Tabla_2[Tiempo],Tabla_2[Instancia],$B59,Tabla_2[Configuracion],$C$5,Tabla_2[Num_Pistas],4)</f>
        <v>13607.1475</v>
      </c>
      <c r="G59" s="22">
        <f>MINIFS(Tabla_2[Costo_Total],Tabla_2[Instancia],$B59,Tabla_2[Configuracion],$G$5,Tabla_2[Num_Pistas],4)</f>
        <v>64698</v>
      </c>
      <c r="H59" s="23">
        <f>AVERAGEIFS(Tabla_2[Costo_Total],Tabla_2[Instancia],B59,Tabla_2[Configuracion],G$5,Tabla_2[Num_Pistas],4)</f>
        <v>64706.6</v>
      </c>
      <c r="I59" s="23">
        <f>IFERROR(__xludf.DUMMYFUNCTION("STDEV(FILTER(Tabla_2[Costo_Total],Tabla_2[Instancia]=$B59,Tabla_2[Configuracion]=$G$5,Tabla_2[Num_Pistas]=4))"),10.478549517943668)</f>
        <v>10.47854952</v>
      </c>
      <c r="J59" s="24">
        <f>AVERAGEIFS(Tabla_2[Tiempo],Tabla_2[Instancia],$B59,Tabla_2[Configuracion],$G$5, Tabla_2[Num_Pistas],4)</f>
        <v>1193.884</v>
      </c>
      <c r="K59" s="22">
        <f>MINIFS(Tabla_2[Costo_Total],Tabla_2[Instancia],$B59,Tabla_2[Configuracion],$K$5,Tabla_2[Num_Pistas],4)</f>
        <v>64698</v>
      </c>
      <c r="L59" s="23">
        <f>AVERAGEIFS(Tabla_2[Costo_Total],Tabla_2[Instancia],B59,Tabla_2[Configuracion],K$5,Tabla_2[Num_Pistas],4)</f>
        <v>64722.4</v>
      </c>
      <c r="M59" s="23">
        <f>IFERROR(__xludf.DUMMYFUNCTION("STDEV(FILTER(Tabla_2[Costo_Total],Tabla_2[Instancia]=$B59,Tabla_2[Configuracion]=$K$5,Tabla_2[Num_Pistas]=4))"),53.64326611980337)</f>
        <v>53.64326612</v>
      </c>
      <c r="N59" s="24">
        <f>AVERAGEIFS(Tabla_2[Tiempo],Tabla_2[Instancia],$B59,Tabla_2[Configuracion],$K$5,Tabla_2[Num_Pistas],4)</f>
        <v>1342.923</v>
      </c>
      <c r="O59" s="22">
        <f>MINIFS(Tabla_2[Costo_Total],Tabla_2[Instancia],$B59,Tabla_2[Configuracion],$O$5,Tabla_2[Num_Pistas],4)</f>
        <v>64698</v>
      </c>
      <c r="P59" s="23">
        <f>AVERAGEIFS(Tabla_2[Costo_Total],Tabla_2[Instancia],B59,Tabla_2[Configuracion],O$5,Tabla_2[Num_Pistas],4)</f>
        <v>64722.4</v>
      </c>
      <c r="Q59" s="23">
        <f>IFERROR(__xludf.DUMMYFUNCTION("STDEV(FILTER(Tabla_2[Costo_Total],Tabla_2[Instancia]=$B59,Tabla_2[Configuracion]=$O$5,Tabla_2[Num_Pistas]=4))"),53.64326611980337)</f>
        <v>53.64326612</v>
      </c>
      <c r="R59" s="24">
        <f>AVERAGEIFS(Tabla_2[Tiempo],Tabla_2[Instancia],$B59,Tabla_2[Configuracion],$O$5,Tabla_2[Num_Pistas],4)</f>
        <v>1148.358</v>
      </c>
      <c r="S59" s="25">
        <f t="shared" si="23"/>
        <v>64698</v>
      </c>
      <c r="U59" s="27">
        <f t="shared" si="24"/>
        <v>0.289622554</v>
      </c>
      <c r="AJ59" s="20" t="s">
        <v>28</v>
      </c>
      <c r="AK59" s="21">
        <v>1.0</v>
      </c>
      <c r="AL59" s="20" t="s">
        <v>4</v>
      </c>
      <c r="AM59" s="20" t="s">
        <v>34</v>
      </c>
      <c r="AN59" s="21">
        <v>33668.0</v>
      </c>
      <c r="AO59" s="21">
        <v>10.0</v>
      </c>
      <c r="AP59" s="20">
        <v>24442.0</v>
      </c>
      <c r="AQ59" s="20">
        <v>0.87</v>
      </c>
    </row>
    <row r="60" ht="22.5" customHeight="1">
      <c r="B60" s="32" t="s">
        <v>54</v>
      </c>
      <c r="C60" s="22">
        <f>MINIFS(Tabla_2[Costo_Total],Tabla_2[Instancia],$B60,Tabla_2[Configuracion],$C$5,Tabla_2[Num_Pistas],4)</f>
        <v>71707</v>
      </c>
      <c r="D60" s="23">
        <f>AVERAGEIFS(Tabla_2[Costo_Total],Tabla_2[Instancia],B60,Tabla_2[Configuracion],C$5,Tabla_2[Num_Pistas],4)</f>
        <v>71708</v>
      </c>
      <c r="E60" s="23">
        <f>IFERROR(__xludf.DUMMYFUNCTION("STDEV(FILTER(Tabla_2[Costo_Total],Tabla_2[Instancia]=$B60,Tabla_2[Configuracion]=$C$5,Tabla_2[Num_Pistas]=4))"),2.236067977498773)</f>
        <v>2.236067977</v>
      </c>
      <c r="F60" s="24">
        <f>AVERAGEIFS(Tabla_2[Tiempo],Tabla_2[Instancia],$B60,Tabla_2[Configuracion],$C$5,Tabla_2[Num_Pistas],4)</f>
        <v>1113.998</v>
      </c>
      <c r="G60" s="22">
        <f>MINIFS(Tabla_2[Costo_Total],Tabla_2[Instancia],$B60,Tabla_2[Configuracion],$G$5,Tabla_2[Num_Pistas],4)</f>
        <v>71707</v>
      </c>
      <c r="H60" s="23">
        <f>AVERAGEIFS(Tabla_2[Costo_Total],Tabla_2[Instancia],B60,Tabla_2[Configuracion],G$5,Tabla_2[Num_Pistas],4)</f>
        <v>71708</v>
      </c>
      <c r="I60" s="23">
        <f>IFERROR(__xludf.DUMMYFUNCTION("STDEV(FILTER(Tabla_2[Costo_Total],Tabla_2[Instancia]=$B60,Tabla_2[Configuracion]=$G$5,Tabla_2[Num_Pistas]=4))"),2.236067977498773)</f>
        <v>2.236067977</v>
      </c>
      <c r="J60" s="24">
        <f>AVERAGEIFS(Tabla_2[Tiempo],Tabla_2[Instancia],$B60,Tabla_2[Configuracion],$G$5, Tabla_2[Num_Pistas],4)</f>
        <v>1142.61</v>
      </c>
      <c r="K60" s="22">
        <f>MINIFS(Tabla_2[Costo_Total],Tabla_2[Instancia],$B60,Tabla_2[Configuracion],$K$5,Tabla_2[Num_Pistas],4)</f>
        <v>71707</v>
      </c>
      <c r="L60" s="23">
        <f>AVERAGEIFS(Tabla_2[Costo_Total],Tabla_2[Instancia],B60,Tabla_2[Configuracion],K$5,Tabla_2[Num_Pistas],4)</f>
        <v>71708.66667</v>
      </c>
      <c r="M60" s="23">
        <f>IFERROR(__xludf.DUMMYFUNCTION("STDEV(FILTER(Tabla_2[Costo_Total],Tabla_2[Instancia]=$B60,Tabla_2[Configuracion]=$K$5,Tabla_2[Num_Pistas]=4))"),2.500000000000795)</f>
        <v>2.5</v>
      </c>
      <c r="N60" s="24">
        <f>AVERAGEIFS(Tabla_2[Tiempo],Tabla_2[Instancia],$B60,Tabla_2[Configuracion],$K$5,Tabla_2[Num_Pistas],4)</f>
        <v>7106.141111</v>
      </c>
      <c r="O60" s="22">
        <f>MINIFS(Tabla_2[Costo_Total],Tabla_2[Instancia],$B60,Tabla_2[Configuracion],$O$5,Tabla_2[Num_Pistas],4)</f>
        <v>71707</v>
      </c>
      <c r="P60" s="23">
        <f>AVERAGEIFS(Tabla_2[Costo_Total],Tabla_2[Instancia],B60,Tabla_2[Configuracion],O$5,Tabla_2[Num_Pistas],4)</f>
        <v>71708.5</v>
      </c>
      <c r="Q60" s="23">
        <f>IFERROR(__xludf.DUMMYFUNCTION("STDEV(FILTER(Tabla_2[Costo_Total],Tabla_2[Instancia]=$B60,Tabla_2[Configuracion]=$O$5,Tabla_2[Num_Pistas]=4))"),2.4152294576977535)</f>
        <v>2.415229458</v>
      </c>
      <c r="R60" s="24">
        <f>AVERAGEIFS(Tabla_2[Tiempo],Tabla_2[Instancia],$B60,Tabla_2[Configuracion],$O$5,Tabla_2[Num_Pistas],4)</f>
        <v>1125.032</v>
      </c>
      <c r="S60" s="25">
        <f t="shared" si="23"/>
        <v>71707</v>
      </c>
      <c r="U60" s="27">
        <f t="shared" si="24"/>
        <v>0.2970839667</v>
      </c>
      <c r="AJ60" s="20" t="s">
        <v>28</v>
      </c>
      <c r="AK60" s="21">
        <v>1.0</v>
      </c>
      <c r="AL60" s="20" t="s">
        <v>2</v>
      </c>
      <c r="AM60" s="20" t="s">
        <v>34</v>
      </c>
      <c r="AN60" s="21">
        <v>1412.0</v>
      </c>
      <c r="AO60" s="21">
        <v>10.0</v>
      </c>
      <c r="AP60" s="20">
        <v>24442.0</v>
      </c>
      <c r="AQ60" s="20">
        <v>0.88</v>
      </c>
    </row>
    <row r="61" ht="22.5" customHeight="1">
      <c r="B61" s="32" t="s">
        <v>55</v>
      </c>
      <c r="C61" s="22">
        <f>MINIFS(Tabla_2[Costo_Total],Tabla_2[Instancia],$B61,Tabla_2[Configuracion],$C$5,Tabla_2[Num_Pistas],4)</f>
        <v>77883</v>
      </c>
      <c r="D61" s="23">
        <f>AVERAGEIFS(Tabla_2[Costo_Total],Tabla_2[Instancia],B61,Tabla_2[Configuracion],C$5,Tabla_2[Num_Pistas],4)</f>
        <v>77903.4</v>
      </c>
      <c r="E61" s="23">
        <f>IFERROR(__xludf.DUMMYFUNCTION("STDEV(FILTER(Tabla_2[Costo_Total],Tabla_2[Instancia]=$B61,Tabla_2[Configuracion]=$C$5,Tabla_2[Num_Pistas]=4))"),28.368997162393143)</f>
        <v>28.36899716</v>
      </c>
      <c r="F61" s="24">
        <f>AVERAGEIFS(Tabla_2[Tiempo],Tabla_2[Instancia],$B61,Tabla_2[Configuracion],$C$5,Tabla_2[Num_Pistas],4)</f>
        <v>1063.724</v>
      </c>
      <c r="G61" s="22">
        <f>MINIFS(Tabla_2[Costo_Total],Tabla_2[Instancia],$B61,Tabla_2[Configuracion],$G$5,Tabla_2[Num_Pistas],4)</f>
        <v>77883</v>
      </c>
      <c r="H61" s="23">
        <f>AVERAGEIFS(Tabla_2[Costo_Total],Tabla_2[Instancia],B61,Tabla_2[Configuracion],G$5,Tabla_2[Num_Pistas],4)</f>
        <v>77903.4</v>
      </c>
      <c r="I61" s="23">
        <f>IFERROR(__xludf.DUMMYFUNCTION("STDEV(FILTER(Tabla_2[Costo_Total],Tabla_2[Instancia]=$B61,Tabla_2[Configuracion]=$G$5,Tabla_2[Num_Pistas]=4))"),28.368997162394553)</f>
        <v>28.36899716</v>
      </c>
      <c r="J61" s="24">
        <f>AVERAGEIFS(Tabla_2[Tiempo],Tabla_2[Instancia],$B61,Tabla_2[Configuracion],$G$5, Tabla_2[Num_Pistas],4)</f>
        <v>1091.344</v>
      </c>
      <c r="K61" s="22">
        <f>MINIFS(Tabla_2[Costo_Total],Tabla_2[Instancia],$B61,Tabla_2[Configuracion],$K$5,Tabla_2[Num_Pistas],4)</f>
        <v>77883</v>
      </c>
      <c r="L61" s="23">
        <f>AVERAGEIFS(Tabla_2[Costo_Total],Tabla_2[Instancia],B61,Tabla_2[Configuracion],K$5,Tabla_2[Num_Pistas],4)</f>
        <v>77913.2</v>
      </c>
      <c r="M61" s="23">
        <f>IFERROR(__xludf.DUMMYFUNCTION("STDEV(FILTER(Tabla_2[Costo_Total],Tabla_2[Instancia]=$B61,Tabla_2[Configuracion]=$K$5,Tabla_2[Num_Pistas]=4))"),28.681391567047786)</f>
        <v>28.68139157</v>
      </c>
      <c r="N61" s="24">
        <f>AVERAGEIFS(Tabla_2[Tiempo],Tabla_2[Instancia],$B61,Tabla_2[Configuracion],$K$5,Tabla_2[Num_Pistas],4)</f>
        <v>1315.574</v>
      </c>
      <c r="O61" s="22">
        <f>MINIFS(Tabla_2[Costo_Total],Tabla_2[Instancia],$B61,Tabla_2[Configuracion],$O$5,Tabla_2[Num_Pistas],4)</f>
        <v>77883</v>
      </c>
      <c r="P61" s="23">
        <f>AVERAGEIFS(Tabla_2[Costo_Total],Tabla_2[Instancia],B61,Tabla_2[Configuracion],O$5,Tabla_2[Num_Pistas],4)</f>
        <v>77914.33333</v>
      </c>
      <c r="Q61" s="23">
        <f>IFERROR(__xludf.DUMMYFUNCTION("STDEV(FILTER(Tabla_2[Costo_Total],Tabla_2[Instancia]=$B61,Tabla_2[Configuracion]=$O$5,Tabla_2[Num_Pistas]=4))"),30.182776545572963)</f>
        <v>30.18277655</v>
      </c>
      <c r="R61" s="24">
        <f>AVERAGEIFS(Tabla_2[Tiempo],Tabla_2[Instancia],$B61,Tabla_2[Configuracion],$O$5,Tabla_2[Num_Pistas],4)</f>
        <v>6605.525556</v>
      </c>
      <c r="S61" s="25">
        <f t="shared" si="23"/>
        <v>77883</v>
      </c>
      <c r="U61" s="27">
        <f t="shared" si="24"/>
        <v>0.2811396582</v>
      </c>
      <c r="AJ61" s="20" t="s">
        <v>28</v>
      </c>
      <c r="AK61" s="21">
        <v>1.0</v>
      </c>
      <c r="AL61" s="20" t="s">
        <v>4</v>
      </c>
      <c r="AM61" s="20" t="s">
        <v>30</v>
      </c>
      <c r="AN61" s="21">
        <v>1156.0</v>
      </c>
      <c r="AO61" s="21">
        <v>10.0</v>
      </c>
      <c r="AP61" s="20">
        <v>1720.0</v>
      </c>
      <c r="AQ61" s="20">
        <v>0.89</v>
      </c>
    </row>
    <row r="62" ht="22.5" customHeight="1">
      <c r="B62" s="32" t="s">
        <v>56</v>
      </c>
      <c r="C62" s="22">
        <f>MINIFS(Tabla_2[Costo_Total],Tabla_2[Instancia],$B62,Tabla_2[Configuracion],$C$5,Tabla_2[Num_Pistas],4)</f>
        <v>76855</v>
      </c>
      <c r="D62" s="23">
        <f>AVERAGEIFS(Tabla_2[Costo_Total],Tabla_2[Instancia],B62,Tabla_2[Configuracion],C$5,Tabla_2[Num_Pistas],4)</f>
        <v>76857.4</v>
      </c>
      <c r="E62" s="23">
        <f>IFERROR(__xludf.DUMMYFUNCTION("STDEV(FILTER(Tabla_2[Costo_Total],Tabla_2[Instancia]=$B62,Tabla_2[Configuracion]=$C$5,Tabla_2[Num_Pistas]=4))"),5.366563145999089)</f>
        <v>5.366563146</v>
      </c>
      <c r="F62" s="24">
        <f>AVERAGEIFS(Tabla_2[Tiempo],Tabla_2[Instancia],$B62,Tabla_2[Configuracion],$C$5,Tabla_2[Num_Pistas],4)</f>
        <v>1117.574</v>
      </c>
      <c r="G62" s="22">
        <f>MINIFS(Tabla_2[Costo_Total],Tabla_2[Instancia],$B62,Tabla_2[Configuracion],$G$5,Tabla_2[Num_Pistas],4)</f>
        <v>76855</v>
      </c>
      <c r="H62" s="23">
        <f>AVERAGEIFS(Tabla_2[Costo_Total],Tabla_2[Instancia],B62,Tabla_2[Configuracion],G$5,Tabla_2[Num_Pistas],4)</f>
        <v>76857.4</v>
      </c>
      <c r="I62" s="23">
        <f>IFERROR(__xludf.DUMMYFUNCTION("STDEV(FILTER(Tabla_2[Costo_Total],Tabla_2[Instancia]=$B62,Tabla_2[Configuracion]=$G$5,Tabla_2[Num_Pistas]=4))"),5.3665631460011225)</f>
        <v>5.366563146</v>
      </c>
      <c r="J62" s="24">
        <f>AVERAGEIFS(Tabla_2[Tiempo],Tabla_2[Instancia],$B62,Tabla_2[Configuracion],$G$5, Tabla_2[Num_Pistas],4)</f>
        <v>11130.652</v>
      </c>
      <c r="K62" s="22">
        <f>MINIFS(Tabla_2[Costo_Total],Tabla_2[Instancia],$B62,Tabla_2[Configuracion],$K$5,Tabla_2[Num_Pistas],4)</f>
        <v>76855</v>
      </c>
      <c r="L62" s="23">
        <f>AVERAGEIFS(Tabla_2[Costo_Total],Tabla_2[Instancia],B62,Tabla_2[Configuracion],K$5,Tabla_2[Num_Pistas],4)</f>
        <v>76856.2</v>
      </c>
      <c r="M62" s="23">
        <f>IFERROR(__xludf.DUMMYFUNCTION("STDEV(FILTER(Tabla_2[Costo_Total],Tabla_2[Instancia]=$B62,Tabla_2[Configuracion]=$K$5,Tabla_2[Num_Pistas]=4))"),3.794733192202566)</f>
        <v>3.794733192</v>
      </c>
      <c r="N62" s="24">
        <f>AVERAGEIFS(Tabla_2[Tiempo],Tabla_2[Instancia],$B62,Tabla_2[Configuracion],$K$5,Tabla_2[Num_Pistas],4)</f>
        <v>1342.156</v>
      </c>
      <c r="O62" s="22">
        <f>MINIFS(Tabla_2[Costo_Total],Tabla_2[Instancia],$B62,Tabla_2[Configuracion],$O$5,Tabla_2[Num_Pistas],4)</f>
        <v>76855</v>
      </c>
      <c r="P62" s="23">
        <f>AVERAGEIFS(Tabla_2[Costo_Total],Tabla_2[Instancia],B62,Tabla_2[Configuracion],O$5,Tabla_2[Num_Pistas],4)</f>
        <v>76856.2</v>
      </c>
      <c r="Q62" s="23">
        <f>IFERROR(__xludf.DUMMYFUNCTION("STDEV(FILTER(Tabla_2[Costo_Total],Tabla_2[Instancia]=$B62,Tabla_2[Configuracion]=$O$5,Tabla_2[Num_Pistas]=4))"),3.794733192202765)</f>
        <v>3.794733192</v>
      </c>
      <c r="R62" s="24">
        <f>AVERAGEIFS(Tabla_2[Tiempo],Tabla_2[Instancia],$B62,Tabla_2[Configuracion],$O$5,Tabla_2[Num_Pistas],4)</f>
        <v>1114.042</v>
      </c>
      <c r="S62" s="25">
        <f t="shared" si="23"/>
        <v>76855</v>
      </c>
      <c r="U62" s="27">
        <f t="shared" si="24"/>
        <v>0.3009173118</v>
      </c>
      <c r="AJ62" s="20" t="s">
        <v>28</v>
      </c>
      <c r="AK62" s="21">
        <v>1.0</v>
      </c>
      <c r="AL62" s="20" t="s">
        <v>4</v>
      </c>
      <c r="AM62" s="20" t="s">
        <v>34</v>
      </c>
      <c r="AN62" s="21">
        <v>17284.0</v>
      </c>
      <c r="AO62" s="21">
        <v>10.0</v>
      </c>
      <c r="AP62" s="20">
        <v>24442.0</v>
      </c>
      <c r="AQ62" s="20">
        <v>0.89</v>
      </c>
    </row>
    <row r="63" ht="22.5" customHeight="1">
      <c r="B63" s="32" t="s">
        <v>57</v>
      </c>
      <c r="C63" s="22">
        <f>MINIFS(Tabla_2[Costo_Total],Tabla_2[Instancia],$B63,Tabla_2[Configuracion],$C$5,Tabla_2[Num_Pistas],4)</f>
        <v>80959</v>
      </c>
      <c r="D63" s="23">
        <f>AVERAGEIFS(Tabla_2[Costo_Total],Tabla_2[Instancia],B63,Tabla_2[Configuracion],C$5,Tabla_2[Num_Pistas],4)</f>
        <v>81002</v>
      </c>
      <c r="E63" s="23">
        <f>IFERROR(__xludf.DUMMYFUNCTION("STDEV(FILTER(Tabla_2[Costo_Total],Tabla_2[Instancia]=$B63,Tabla_2[Configuracion]=$C$5,Tabla_2[Num_Pistas]=4))"),96.15092303248994)</f>
        <v>96.15092303</v>
      </c>
      <c r="F63" s="24">
        <f>AVERAGEIFS(Tabla_2[Tiempo],Tabla_2[Instancia],$B63,Tabla_2[Configuracion],$C$5,Tabla_2[Num_Pistas],4)</f>
        <v>1145.402</v>
      </c>
      <c r="G63" s="22">
        <f>MINIFS(Tabla_2[Costo_Total],Tabla_2[Instancia],$B63,Tabla_2[Configuracion],$G$5,Tabla_2[Num_Pistas],4)</f>
        <v>80959</v>
      </c>
      <c r="H63" s="23">
        <f>AVERAGEIFS(Tabla_2[Costo_Total],Tabla_2[Instancia],B63,Tabla_2[Configuracion],G$5,Tabla_2[Num_Pistas],4)</f>
        <v>81012.75</v>
      </c>
      <c r="I63" s="23">
        <f>IFERROR(__xludf.DUMMYFUNCTION("STDEV(FILTER(Tabla_2[Costo_Total],Tabla_2[Instancia]=$B63,Tabla_2[Configuracion]=$G$5,Tabla_2[Num_Pistas]=4))"),107.50000000000122)</f>
        <v>107.5</v>
      </c>
      <c r="J63" s="24">
        <f>AVERAGEIFS(Tabla_2[Tiempo],Tabla_2[Instancia],$B63,Tabla_2[Configuracion],$G$5, Tabla_2[Num_Pistas],4)</f>
        <v>1146.845</v>
      </c>
      <c r="K63" s="22">
        <f>MINIFS(Tabla_2[Costo_Total],Tabla_2[Instancia],$B63,Tabla_2[Configuracion],$K$5,Tabla_2[Num_Pistas],4)</f>
        <v>80959</v>
      </c>
      <c r="L63" s="23">
        <f>AVERAGEIFS(Tabla_2[Costo_Total],Tabla_2[Instancia],B63,Tabla_2[Configuracion],K$5,Tabla_2[Num_Pistas],4)</f>
        <v>81175.1</v>
      </c>
      <c r="M63" s="23">
        <f>IFERROR(__xludf.DUMMYFUNCTION("STDEV(FILTER(Tabla_2[Costo_Total],Tabla_2[Instancia]=$B63,Tabla_2[Configuracion]=$K$5,Tabla_2[Num_Pistas]=4))"),304.76747055929707)</f>
        <v>304.7674706</v>
      </c>
      <c r="N63" s="24">
        <f>AVERAGEIFS(Tabla_2[Tiempo],Tabla_2[Instancia],$B63,Tabla_2[Configuracion],$K$5,Tabla_2[Num_Pistas],4)</f>
        <v>1361.784</v>
      </c>
      <c r="O63" s="22">
        <f>MINIFS(Tabla_2[Costo_Total],Tabla_2[Instancia],$B63,Tabla_2[Configuracion],$O$5,Tabla_2[Num_Pistas],4)</f>
        <v>80959</v>
      </c>
      <c r="P63" s="23">
        <f>AVERAGEIFS(Tabla_2[Costo_Total],Tabla_2[Instancia],B63,Tabla_2[Configuracion],O$5,Tabla_2[Num_Pistas],4)</f>
        <v>81175.1</v>
      </c>
      <c r="Q63" s="23">
        <f>IFERROR(__xludf.DUMMYFUNCTION("STDEV(FILTER(Tabla_2[Costo_Total],Tabla_2[Instancia]=$B63,Tabla_2[Configuracion]=$O$5,Tabla_2[Num_Pistas]=4))"),304.7674705592959)</f>
        <v>304.7674706</v>
      </c>
      <c r="R63" s="24">
        <f>AVERAGEIFS(Tabla_2[Tiempo],Tabla_2[Instancia],$B63,Tabla_2[Configuracion],$O$5,Tabla_2[Num_Pistas],4)</f>
        <v>1122.1</v>
      </c>
      <c r="S63" s="25">
        <f t="shared" si="23"/>
        <v>80959</v>
      </c>
      <c r="U63" s="27">
        <f t="shared" si="24"/>
        <v>0.3111204437</v>
      </c>
      <c r="AJ63" s="20" t="s">
        <v>28</v>
      </c>
      <c r="AK63" s="21">
        <v>1.0</v>
      </c>
      <c r="AL63" s="20" t="s">
        <v>5</v>
      </c>
      <c r="AM63" s="20" t="s">
        <v>30</v>
      </c>
      <c r="AN63" s="21">
        <v>1156.0</v>
      </c>
      <c r="AO63" s="21">
        <v>20.0</v>
      </c>
      <c r="AP63" s="20">
        <v>1720.0</v>
      </c>
      <c r="AQ63" s="20">
        <v>0.89</v>
      </c>
    </row>
    <row r="64" ht="22.5" customHeight="1">
      <c r="S64" s="25">
        <f>AVERAGE(S52:S63)</f>
        <v>74824.66667</v>
      </c>
      <c r="AJ64" s="20" t="s">
        <v>28</v>
      </c>
      <c r="AK64" s="21">
        <v>1.0</v>
      </c>
      <c r="AL64" s="20" t="s">
        <v>2</v>
      </c>
      <c r="AM64" s="20" t="s">
        <v>34</v>
      </c>
      <c r="AN64" s="21">
        <v>2948.0</v>
      </c>
      <c r="AO64" s="21">
        <v>10.0</v>
      </c>
      <c r="AP64" s="20">
        <v>24442.0</v>
      </c>
      <c r="AQ64" s="20">
        <v>0.89</v>
      </c>
    </row>
    <row r="65" ht="22.5" customHeight="1">
      <c r="B65" s="7" t="s">
        <v>64</v>
      </c>
      <c r="C65" s="8" t="s">
        <v>2</v>
      </c>
      <c r="D65" s="9"/>
      <c r="E65" s="9"/>
      <c r="F65" s="10"/>
      <c r="G65" s="11" t="s">
        <v>3</v>
      </c>
      <c r="H65" s="12"/>
      <c r="I65" s="12"/>
      <c r="J65" s="13"/>
      <c r="K65" s="11" t="s">
        <v>4</v>
      </c>
      <c r="L65" s="12"/>
      <c r="M65" s="12"/>
      <c r="N65" s="13"/>
      <c r="O65" s="11" t="s">
        <v>5</v>
      </c>
      <c r="P65" s="12"/>
      <c r="Q65" s="12"/>
      <c r="R65" s="13"/>
      <c r="AJ65" s="20" t="s">
        <v>28</v>
      </c>
      <c r="AK65" s="21">
        <v>1.0</v>
      </c>
      <c r="AL65" s="20" t="s">
        <v>4</v>
      </c>
      <c r="AM65" s="20" t="s">
        <v>30</v>
      </c>
      <c r="AN65" s="21">
        <v>9092.0</v>
      </c>
      <c r="AO65" s="21">
        <v>10.0</v>
      </c>
      <c r="AP65" s="20">
        <v>2030.0</v>
      </c>
      <c r="AQ65" s="20">
        <v>0.9</v>
      </c>
    </row>
    <row r="66" ht="22.5" customHeight="1">
      <c r="B66" s="32" t="s">
        <v>14</v>
      </c>
      <c r="C66" s="16" t="s">
        <v>15</v>
      </c>
      <c r="D66" s="17" t="s">
        <v>16</v>
      </c>
      <c r="E66" s="17" t="s">
        <v>17</v>
      </c>
      <c r="F66" s="18" t="s">
        <v>18</v>
      </c>
      <c r="G66" s="16" t="s">
        <v>15</v>
      </c>
      <c r="H66" s="17" t="s">
        <v>16</v>
      </c>
      <c r="I66" s="17" t="s">
        <v>17</v>
      </c>
      <c r="J66" s="18" t="s">
        <v>18</v>
      </c>
      <c r="K66" s="16" t="s">
        <v>15</v>
      </c>
      <c r="L66" s="17" t="s">
        <v>16</v>
      </c>
      <c r="M66" s="17" t="s">
        <v>17</v>
      </c>
      <c r="N66" s="18" t="s">
        <v>18</v>
      </c>
      <c r="O66" s="16" t="s">
        <v>15</v>
      </c>
      <c r="P66" s="17" t="s">
        <v>16</v>
      </c>
      <c r="Q66" s="17" t="s">
        <v>17</v>
      </c>
      <c r="R66" s="18" t="s">
        <v>18</v>
      </c>
      <c r="S66" s="19" t="s">
        <v>15</v>
      </c>
      <c r="AJ66" s="20" t="s">
        <v>28</v>
      </c>
      <c r="AK66" s="21">
        <v>1.0</v>
      </c>
      <c r="AL66" s="20" t="s">
        <v>4</v>
      </c>
      <c r="AM66" s="20" t="s">
        <v>34</v>
      </c>
      <c r="AN66" s="21">
        <v>2948.0</v>
      </c>
      <c r="AO66" s="21">
        <v>10.0</v>
      </c>
      <c r="AP66" s="20">
        <v>24442.0</v>
      </c>
      <c r="AQ66" s="20">
        <v>0.9</v>
      </c>
    </row>
    <row r="67" ht="22.5" customHeight="1">
      <c r="B67" s="33" t="s">
        <v>46</v>
      </c>
      <c r="C67" s="22">
        <f>MINIFS(Tabla_2[Costo_Total],Tabla_2[Instancia],$B67,Tabla_2[Configuracion],$C$5,Tabla_2[Num_Pistas],5)</f>
        <v>52932</v>
      </c>
      <c r="D67" s="23">
        <f>AVERAGEIFS(Tabla_2[Costo_Total],Tabla_2[Instancia],B67,Tabla_2[Configuracion],C$5,Tabla_2[Num_Pistas],5)</f>
        <v>52932</v>
      </c>
      <c r="E67" s="23">
        <f>IFERROR(__xludf.DUMMYFUNCTION("STDEV(FILTER(Tabla_2[Costo_Total],Tabla_2[Instancia]=$B67,Tabla_2[Configuracion]=$C$5,Tabla_2[Num_Pistas]=5))"),0.0)</f>
        <v>0</v>
      </c>
      <c r="F67" s="24">
        <f>AVERAGEIFS(Tabla_2[Tiempo],Tabla_2[Instancia],$B67,Tabla_2[Configuracion],$C$5,Tabla_2[Num_Pistas],5)</f>
        <v>1283.084</v>
      </c>
      <c r="G67" s="22">
        <f>MINIFS(Tabla_2[Costo_Total],Tabla_2[Instancia],$B67,Tabla_2[Configuracion],$G$5,Tabla_2[Num_Pistas],5)</f>
        <v>52932</v>
      </c>
      <c r="H67" s="23">
        <f>AVERAGEIFS(Tabla_2[Costo_Total],Tabla_2[Instancia],B67,Tabla_2[Configuracion],G$5,Tabla_2[Num_Pistas],5)</f>
        <v>52932</v>
      </c>
      <c r="I67" s="23">
        <f>IFERROR(__xludf.DUMMYFUNCTION("STDEV(FILTER(Tabla_2[Costo_Total],Tabla_2[Instancia]=$B67,Tabla_2[Configuracion]=$G$5,Tabla_2[Num_Pistas]=5))"),0.0)</f>
        <v>0</v>
      </c>
      <c r="J67" s="24">
        <f>AVERAGEIFS(Tabla_2[Tiempo],Tabla_2[Instancia],$B67,Tabla_2[Configuracion],$G$5, Tabla_2[Num_Pistas],5)</f>
        <v>1275.9</v>
      </c>
      <c r="K67" s="22">
        <f>MINIFS(Tabla_2[Costo_Total],Tabla_2[Instancia],$B67,Tabla_2[Configuracion],$K$5,Tabla_2[Num_Pistas],5)</f>
        <v>52932</v>
      </c>
      <c r="L67" s="23">
        <f>AVERAGEIFS(Tabla_2[Costo_Total],Tabla_2[Instancia],B67,Tabla_2[Configuracion],K$5,Tabla_2[Num_Pistas],5)</f>
        <v>52932</v>
      </c>
      <c r="M67" s="23">
        <f>IFERROR(__xludf.DUMMYFUNCTION("STDEV(FILTER(Tabla_2[Costo_Total],Tabla_2[Instancia]=$B67,Tabla_2[Configuracion]=$K$5,Tabla_2[Num_Pistas]=5))"),0.0)</f>
        <v>0</v>
      </c>
      <c r="N67" s="24">
        <f>AVERAGEIFS(Tabla_2[Tiempo],Tabla_2[Instancia],$B67,Tabla_2[Configuracion],$K$5,Tabla_2[Num_Pistas],5)</f>
        <v>1227.528</v>
      </c>
      <c r="O67" s="22">
        <f>MINIFS(Tabla_2[Costo_Total],Tabla_2[Instancia],$B67,Tabla_2[Configuracion],$O$5,Tabla_2[Num_Pistas],5)</f>
        <v>52932</v>
      </c>
      <c r="P67" s="23">
        <f>AVERAGEIFS(Tabla_2[Costo_Total],Tabla_2[Instancia],B67,Tabla_2[Configuracion],O$5,Tabla_2[Num_Pistas],5)</f>
        <v>52932</v>
      </c>
      <c r="Q67" s="23">
        <f>IFERROR(__xludf.DUMMYFUNCTION("STDEV(FILTER(Tabla_2[Costo_Total],Tabla_2[Instancia]=$B67,Tabla_2[Configuracion]=$O$5,Tabla_2[Num_Pistas]=5))"),0.0)</f>
        <v>0</v>
      </c>
      <c r="R67" s="24">
        <f>AVERAGEIFS(Tabla_2[Tiempo],Tabla_2[Instancia],$B67,Tabla_2[Configuracion],$O$5,Tabla_2[Num_Pistas],5)</f>
        <v>6811.36</v>
      </c>
      <c r="S67" s="25">
        <f t="shared" ref="S67:S78" si="25">O67</f>
        <v>52932</v>
      </c>
      <c r="AJ67" s="20" t="s">
        <v>28</v>
      </c>
      <c r="AK67" s="21">
        <v>1.0</v>
      </c>
      <c r="AL67" s="20" t="s">
        <v>4</v>
      </c>
      <c r="AM67" s="20" t="s">
        <v>34</v>
      </c>
      <c r="AN67" s="21">
        <v>1412.0</v>
      </c>
      <c r="AO67" s="21">
        <v>10.0</v>
      </c>
      <c r="AP67" s="20">
        <v>24442.0</v>
      </c>
      <c r="AQ67" s="20">
        <v>0.91</v>
      </c>
    </row>
    <row r="68" ht="22.5" customHeight="1">
      <c r="B68" s="32" t="s">
        <v>47</v>
      </c>
      <c r="C68" s="22">
        <f>MINIFS(Tabla_2[Costo_Total],Tabla_2[Instancia],$B68,Tabla_2[Configuracion],$C$5,Tabla_2[Num_Pistas],5)</f>
        <v>54844</v>
      </c>
      <c r="D68" s="23">
        <f>AVERAGEIFS(Tabla_2[Costo_Total],Tabla_2[Instancia],B68,Tabla_2[Configuracion],C$5,Tabla_2[Num_Pistas],5)</f>
        <v>54844</v>
      </c>
      <c r="E68" s="23">
        <f>IFERROR(__xludf.DUMMYFUNCTION("STDEV(FILTER(Tabla_2[Costo_Total],Tabla_2[Instancia]=$B68,Tabla_2[Configuracion]=$C$5,Tabla_2[Num_Pistas]=5))"),0.0)</f>
        <v>0</v>
      </c>
      <c r="F68" s="24">
        <f>AVERAGEIFS(Tabla_2[Tiempo],Tabla_2[Instancia],$B68,Tabla_2[Configuracion],$C$5,Tabla_2[Num_Pistas],5)</f>
        <v>1279.292</v>
      </c>
      <c r="G68" s="22">
        <f>MINIFS(Tabla_2[Costo_Total],Tabla_2[Instancia],$B68,Tabla_2[Configuracion],$G$5,Tabla_2[Num_Pistas],5)</f>
        <v>54844</v>
      </c>
      <c r="H68" s="23">
        <f>AVERAGEIFS(Tabla_2[Costo_Total],Tabla_2[Instancia],B68,Tabla_2[Configuracion],G$5,Tabla_2[Num_Pistas],5)</f>
        <v>54844</v>
      </c>
      <c r="I68" s="23">
        <f>IFERROR(__xludf.DUMMYFUNCTION("STDEV(FILTER(Tabla_2[Costo_Total],Tabla_2[Instancia]=$B68,Tabla_2[Configuracion]=$G$5,Tabla_2[Num_Pistas]=5))"),0.0)</f>
        <v>0</v>
      </c>
      <c r="J68" s="24">
        <f>AVERAGEIFS(Tabla_2[Tiempo],Tabla_2[Instancia],$B68,Tabla_2[Configuracion],$G$5, Tabla_2[Num_Pistas],5)</f>
        <v>1311.166</v>
      </c>
      <c r="K68" s="22">
        <f>MINIFS(Tabla_2[Costo_Total],Tabla_2[Instancia],$B68,Tabla_2[Configuracion],$K$5,Tabla_2[Num_Pistas],5)</f>
        <v>54844</v>
      </c>
      <c r="L68" s="23">
        <f>AVERAGEIFS(Tabla_2[Costo_Total],Tabla_2[Instancia],B68,Tabla_2[Configuracion],K$5,Tabla_2[Num_Pistas],5)</f>
        <v>54878.9</v>
      </c>
      <c r="M68" s="23">
        <f>IFERROR(__xludf.DUMMYFUNCTION("STDEV(FILTER(Tabla_2[Costo_Total],Tabla_2[Instancia]=$B68,Tabla_2[Configuracion]=$K$5,Tabla_2[Num_Pistas]=5))"),81.1260336349157)</f>
        <v>81.12603363</v>
      </c>
      <c r="N68" s="24">
        <f>AVERAGEIFS(Tabla_2[Tiempo],Tabla_2[Instancia],$B68,Tabla_2[Configuracion],$K$5,Tabla_2[Num_Pistas],5)</f>
        <v>1248.416</v>
      </c>
      <c r="O68" s="22">
        <f>MINIFS(Tabla_2[Costo_Total],Tabla_2[Instancia],$B68,Tabla_2[Configuracion],$O$5,Tabla_2[Num_Pistas],5)</f>
        <v>54844</v>
      </c>
      <c r="P68" s="23">
        <f>AVERAGEIFS(Tabla_2[Costo_Total],Tabla_2[Instancia],B68,Tabla_2[Configuracion],O$5,Tabla_2[Num_Pistas],5)</f>
        <v>54878.9</v>
      </c>
      <c r="Q68" s="23">
        <f>IFERROR(__xludf.DUMMYFUNCTION("STDEV(FILTER(Tabla_2[Costo_Total],Tabla_2[Instancia]=$B68,Tabla_2[Configuracion]=$O$5,Tabla_2[Num_Pistas]=5))"),81.1260336349157)</f>
        <v>81.12603363</v>
      </c>
      <c r="R68" s="24">
        <f>AVERAGEIFS(Tabla_2[Tiempo],Tabla_2[Instancia],$B68,Tabla_2[Configuracion],$O$5,Tabla_2[Num_Pistas],5)</f>
        <v>1282.501</v>
      </c>
      <c r="S68" s="25">
        <f t="shared" si="25"/>
        <v>54844</v>
      </c>
      <c r="AJ68" s="20" t="s">
        <v>28</v>
      </c>
      <c r="AK68" s="21">
        <v>1.0</v>
      </c>
      <c r="AL68" s="20" t="s">
        <v>4</v>
      </c>
      <c r="AM68" s="20" t="s">
        <v>34</v>
      </c>
      <c r="AN68" s="21">
        <v>9092.0</v>
      </c>
      <c r="AO68" s="21">
        <v>10.0</v>
      </c>
      <c r="AP68" s="20">
        <v>24442.0</v>
      </c>
      <c r="AQ68" s="20">
        <v>0.95</v>
      </c>
    </row>
    <row r="69" ht="22.5" customHeight="1">
      <c r="B69" s="32" t="s">
        <v>48</v>
      </c>
      <c r="C69" s="22">
        <f>MINIFS(Tabla_2[Costo_Total],Tabla_2[Instancia],$B69,Tabla_2[Configuracion],$C$5,Tabla_2[Num_Pistas],5)</f>
        <v>54044</v>
      </c>
      <c r="D69" s="23">
        <f>AVERAGEIFS(Tabla_2[Costo_Total],Tabla_2[Instancia],B69,Tabla_2[Configuracion],C$5,Tabla_2[Num_Pistas],5)</f>
        <v>54113.2</v>
      </c>
      <c r="E69" s="23">
        <f>IFERROR(__xludf.DUMMYFUNCTION("STDEV(FILTER(Tabla_2[Costo_Total],Tabla_2[Instancia]=$B69,Tabla_2[Configuracion]=$C$5,Tabla_2[Num_Pistas]=5))"),45.09101906144949)</f>
        <v>45.09101906</v>
      </c>
      <c r="F69" s="24">
        <f>AVERAGEIFS(Tabla_2[Tiempo],Tabla_2[Instancia],$B69,Tabla_2[Configuracion],$C$5,Tabla_2[Num_Pistas],5)</f>
        <v>11268.014</v>
      </c>
      <c r="G69" s="22">
        <f>MINIFS(Tabla_2[Costo_Total],Tabla_2[Instancia],$B69,Tabla_2[Configuracion],$G$5,Tabla_2[Num_Pistas],5)</f>
        <v>54044</v>
      </c>
      <c r="H69" s="23">
        <f>AVERAGEIFS(Tabla_2[Costo_Total],Tabla_2[Instancia],B69,Tabla_2[Configuracion],G$5,Tabla_2[Num_Pistas],5)</f>
        <v>54113.2</v>
      </c>
      <c r="I69" s="23">
        <f>IFERROR(__xludf.DUMMYFUNCTION("STDEV(FILTER(Tabla_2[Costo_Total],Tabla_2[Instancia]=$B69,Tabla_2[Configuracion]=$G$5,Tabla_2[Num_Pistas]=5))"),45.09101906145005)</f>
        <v>45.09101906</v>
      </c>
      <c r="J69" s="24">
        <f>AVERAGEIFS(Tabla_2[Tiempo],Tabla_2[Instancia],$B69,Tabla_2[Configuracion],$G$5, Tabla_2[Num_Pistas],5)</f>
        <v>1299.7</v>
      </c>
      <c r="K69" s="22">
        <f>MINIFS(Tabla_2[Costo_Total],Tabla_2[Instancia],$B69,Tabla_2[Configuracion],$K$5,Tabla_2[Num_Pistas],5)</f>
        <v>54044</v>
      </c>
      <c r="L69" s="23">
        <f>AVERAGEIFS(Tabla_2[Costo_Total],Tabla_2[Instancia],B69,Tabla_2[Configuracion],K$5,Tabla_2[Num_Pistas],5)</f>
        <v>54110.6</v>
      </c>
      <c r="M69" s="23">
        <f>IFERROR(__xludf.DUMMYFUNCTION("STDEV(FILTER(Tabla_2[Costo_Total],Tabla_2[Instancia]=$B69,Tabla_2[Configuracion]=$K$5,Tabla_2[Num_Pistas]=5))"),31.48262307298149)</f>
        <v>31.48262307</v>
      </c>
      <c r="N69" s="24">
        <f>AVERAGEIFS(Tabla_2[Tiempo],Tabla_2[Instancia],$B69,Tabla_2[Configuracion],$K$5,Tabla_2[Num_Pistas],5)</f>
        <v>1226.216</v>
      </c>
      <c r="O69" s="22">
        <f>MINIFS(Tabla_2[Costo_Total],Tabla_2[Instancia],$B69,Tabla_2[Configuracion],$O$5,Tabla_2[Num_Pistas],5)</f>
        <v>54044</v>
      </c>
      <c r="P69" s="23">
        <f>AVERAGEIFS(Tabla_2[Costo_Total],Tabla_2[Instancia],B69,Tabla_2[Configuracion],O$5,Tabla_2[Num_Pistas],5)</f>
        <v>54110.6</v>
      </c>
      <c r="Q69" s="23">
        <f>IFERROR(__xludf.DUMMYFUNCTION("STDEV(FILTER(Tabla_2[Costo_Total],Tabla_2[Instancia]=$B69,Tabla_2[Configuracion]=$O$5,Tabla_2[Num_Pistas]=5))"),31.48262307298149)</f>
        <v>31.48262307</v>
      </c>
      <c r="R69" s="24">
        <f>AVERAGEIFS(Tabla_2[Tiempo],Tabla_2[Instancia],$B69,Tabla_2[Configuracion],$O$5,Tabla_2[Num_Pistas],5)</f>
        <v>1258.591</v>
      </c>
      <c r="S69" s="25">
        <f t="shared" si="25"/>
        <v>54044</v>
      </c>
      <c r="AJ69" s="20" t="s">
        <v>28</v>
      </c>
      <c r="AK69" s="21">
        <v>1.0</v>
      </c>
      <c r="AL69" s="20" t="s">
        <v>4</v>
      </c>
      <c r="AM69" s="20" t="s">
        <v>34</v>
      </c>
      <c r="AN69" s="21">
        <v>1924.0</v>
      </c>
      <c r="AO69" s="21">
        <v>10.0</v>
      </c>
      <c r="AP69" s="20">
        <v>24442.0</v>
      </c>
      <c r="AQ69" s="20">
        <v>0.96</v>
      </c>
    </row>
    <row r="70" ht="22.5" customHeight="1">
      <c r="B70" s="32" t="s">
        <v>49</v>
      </c>
      <c r="C70" s="22">
        <f>MINIFS(Tabla_2[Costo_Total],Tabla_2[Instancia],$B70,Tabla_2[Configuracion],$C$5,Tabla_2[Num_Pistas],5)</f>
        <v>57208</v>
      </c>
      <c r="D70" s="23">
        <f>AVERAGEIFS(Tabla_2[Costo_Total],Tabla_2[Instancia],B70,Tabla_2[Configuracion],C$5,Tabla_2[Num_Pistas],5)</f>
        <v>57208</v>
      </c>
      <c r="E70" s="23">
        <f>IFERROR(__xludf.DUMMYFUNCTION("STDEV(FILTER(Tabla_2[Costo_Total],Tabla_2[Instancia]=$B70,Tabla_2[Configuracion]=$C$5,Tabla_2[Num_Pistas]=5))"),0.0)</f>
        <v>0</v>
      </c>
      <c r="F70" s="24">
        <f>AVERAGEIFS(Tabla_2[Tiempo],Tabla_2[Instancia],$B70,Tabla_2[Configuracion],$C$5,Tabla_2[Num_Pistas],5)</f>
        <v>11172.294</v>
      </c>
      <c r="G70" s="22">
        <f>MINIFS(Tabla_2[Costo_Total],Tabla_2[Instancia],$B70,Tabla_2[Configuracion],$G$5,Tabla_2[Num_Pistas],5)</f>
        <v>57208</v>
      </c>
      <c r="H70" s="23">
        <f>AVERAGEIFS(Tabla_2[Costo_Total],Tabla_2[Instancia],B70,Tabla_2[Configuracion],G$5,Tabla_2[Num_Pistas],5)</f>
        <v>57208</v>
      </c>
      <c r="I70" s="23">
        <f>IFERROR(__xludf.DUMMYFUNCTION("STDEV(FILTER(Tabla_2[Costo_Total],Tabla_2[Instancia]=$B70,Tabla_2[Configuracion]=$G$5,Tabla_2[Num_Pistas]=5))"),0.0)</f>
        <v>0</v>
      </c>
      <c r="J70" s="24">
        <f>AVERAGEIFS(Tabla_2[Tiempo],Tabla_2[Instancia],$B70,Tabla_2[Configuracion],$G$5, Tabla_2[Num_Pistas],5)</f>
        <v>1194.902</v>
      </c>
      <c r="K70" s="22">
        <f>MINIFS(Tabla_2[Costo_Total],Tabla_2[Instancia],$B70,Tabla_2[Configuracion],$K$5,Tabla_2[Num_Pistas],5)</f>
        <v>57208</v>
      </c>
      <c r="L70" s="23">
        <f>AVERAGEIFS(Tabla_2[Costo_Total],Tabla_2[Instancia],B70,Tabla_2[Configuracion],K$5,Tabla_2[Num_Pistas],5)</f>
        <v>57208</v>
      </c>
      <c r="M70" s="23">
        <f>IFERROR(__xludf.DUMMYFUNCTION("STDEV(FILTER(Tabla_2[Costo_Total],Tabla_2[Instancia]=$B70,Tabla_2[Configuracion]=$K$5,Tabla_2[Num_Pistas]=5))"),0.0)</f>
        <v>0</v>
      </c>
      <c r="N70" s="24">
        <f>AVERAGEIFS(Tabla_2[Tiempo],Tabla_2[Instancia],$B70,Tabla_2[Configuracion],$K$5,Tabla_2[Num_Pistas],5)</f>
        <v>1145.973</v>
      </c>
      <c r="O70" s="22">
        <f>MINIFS(Tabla_2[Costo_Total],Tabla_2[Instancia],$B70,Tabla_2[Configuracion],$O$5,Tabla_2[Num_Pistas],5)</f>
        <v>57208</v>
      </c>
      <c r="P70" s="23">
        <f>AVERAGEIFS(Tabla_2[Costo_Total],Tabla_2[Instancia],B70,Tabla_2[Configuracion],O$5,Tabla_2[Num_Pistas],5)</f>
        <v>57208</v>
      </c>
      <c r="Q70" s="23">
        <f>IFERROR(__xludf.DUMMYFUNCTION("STDEV(FILTER(Tabla_2[Costo_Total],Tabla_2[Instancia]=$B70,Tabla_2[Configuracion]=$O$5,Tabla_2[Num_Pistas]=5))"),0.0)</f>
        <v>0</v>
      </c>
      <c r="R70" s="24">
        <f>AVERAGEIFS(Tabla_2[Tiempo],Tabla_2[Instancia],$B70,Tabla_2[Configuracion],$O$5,Tabla_2[Num_Pistas],5)</f>
        <v>1178.229</v>
      </c>
      <c r="S70" s="25">
        <f t="shared" si="25"/>
        <v>57208</v>
      </c>
      <c r="AJ70" s="20" t="s">
        <v>28</v>
      </c>
      <c r="AK70" s="21">
        <v>1.0</v>
      </c>
      <c r="AL70" s="20" t="s">
        <v>2</v>
      </c>
      <c r="AM70" s="20" t="s">
        <v>34</v>
      </c>
      <c r="AN70" s="21">
        <v>1924.0</v>
      </c>
      <c r="AO70" s="21">
        <v>10.0</v>
      </c>
      <c r="AP70" s="20">
        <v>24442.0</v>
      </c>
      <c r="AQ70" s="20">
        <v>0.96</v>
      </c>
    </row>
    <row r="71" ht="22.5" customHeight="1">
      <c r="B71" s="32" t="s">
        <v>50</v>
      </c>
      <c r="C71" s="22">
        <f>MINIFS(Tabla_2[Costo_Total],Tabla_2[Instancia],$B71,Tabla_2[Configuracion],$C$5,Tabla_2[Num_Pistas],5)</f>
        <v>53092</v>
      </c>
      <c r="D71" s="23">
        <f>AVERAGEIFS(Tabla_2[Costo_Total],Tabla_2[Instancia],B71,Tabla_2[Configuracion],C$5,Tabla_2[Num_Pistas],5)</f>
        <v>53418</v>
      </c>
      <c r="E71" s="23">
        <f>IFERROR(__xludf.DUMMYFUNCTION("STDEV(FILTER(Tabla_2[Costo_Total],Tabla_2[Instancia]=$B71,Tabla_2[Configuracion]=$C$5,Tabla_2[Num_Pistas]=5))"),308.7588055424493)</f>
        <v>308.7588055</v>
      </c>
      <c r="F71" s="24">
        <f>AVERAGEIFS(Tabla_2[Tiempo],Tabla_2[Instancia],$B71,Tabla_2[Configuracion],$C$5,Tabla_2[Num_Pistas],5)</f>
        <v>17872.74333</v>
      </c>
      <c r="G71" s="22">
        <f>MINIFS(Tabla_2[Costo_Total],Tabla_2[Instancia],$B71,Tabla_2[Configuracion],$G$5,Tabla_2[Num_Pistas],5)</f>
        <v>53092</v>
      </c>
      <c r="H71" s="23">
        <f>AVERAGEIFS(Tabla_2[Costo_Total],Tabla_2[Instancia],B71,Tabla_2[Configuracion],G$5,Tabla_2[Num_Pistas],5)</f>
        <v>53297.2</v>
      </c>
      <c r="I71" s="23">
        <f>IFERROR(__xludf.DUMMYFUNCTION("STDEV(FILTER(Tabla_2[Costo_Total],Tabla_2[Instancia]=$B71,Tabla_2[Configuracion]=$G$5,Tabla_2[Num_Pistas]=5))"),274.27577362939024)</f>
        <v>274.2757736</v>
      </c>
      <c r="J71" s="24">
        <f>AVERAGEIFS(Tabla_2[Tiempo],Tabla_2[Instancia],$B71,Tabla_2[Configuracion],$G$5, Tabla_2[Num_Pistas],5)</f>
        <v>1235.474</v>
      </c>
      <c r="K71" s="22">
        <f>MINIFS(Tabla_2[Costo_Total],Tabla_2[Instancia],$B71,Tabla_2[Configuracion],$K$5,Tabla_2[Num_Pistas],5)</f>
        <v>53092</v>
      </c>
      <c r="L71" s="23">
        <f>AVERAGEIFS(Tabla_2[Costo_Total],Tabla_2[Instancia],B71,Tabla_2[Configuracion],K$5,Tabla_2[Num_Pistas],5)</f>
        <v>53250.7</v>
      </c>
      <c r="M71" s="23">
        <f>IFERROR(__xludf.DUMMYFUNCTION("STDEV(FILTER(Tabla_2[Costo_Total],Tabla_2[Instancia]=$B71,Tabla_2[Configuracion]=$K$5,Tabla_2[Num_Pistas]=5))"),210.0053173929972)</f>
        <v>210.0053174</v>
      </c>
      <c r="N71" s="24">
        <f>AVERAGEIFS(Tabla_2[Tiempo],Tabla_2[Instancia],$B71,Tabla_2[Configuracion],$K$5,Tabla_2[Num_Pistas],5)</f>
        <v>6172.911</v>
      </c>
      <c r="O71" s="22">
        <f>MINIFS(Tabla_2[Costo_Total],Tabla_2[Instancia],$B71,Tabla_2[Configuracion],$O$5,Tabla_2[Num_Pistas],5)</f>
        <v>53092</v>
      </c>
      <c r="P71" s="23">
        <f>AVERAGEIFS(Tabla_2[Costo_Total],Tabla_2[Instancia],B71,Tabla_2[Configuracion],O$5,Tabla_2[Num_Pistas],5)</f>
        <v>53250.7</v>
      </c>
      <c r="Q71" s="23">
        <f>IFERROR(__xludf.DUMMYFUNCTION("STDEV(FILTER(Tabla_2[Costo_Total],Tabla_2[Instancia]=$B71,Tabla_2[Configuracion]=$O$5,Tabla_2[Num_Pistas]=5))"),210.00531739299717)</f>
        <v>210.0053174</v>
      </c>
      <c r="R71" s="24">
        <f>AVERAGEIFS(Tabla_2[Tiempo],Tabla_2[Instancia],$B71,Tabla_2[Configuracion],$O$5,Tabla_2[Num_Pistas],5)</f>
        <v>1204.953</v>
      </c>
      <c r="S71" s="25">
        <f t="shared" si="25"/>
        <v>53092</v>
      </c>
      <c r="AJ71" s="20" t="s">
        <v>28</v>
      </c>
      <c r="AK71" s="21">
        <v>1.0</v>
      </c>
      <c r="AL71" s="20" t="s">
        <v>5</v>
      </c>
      <c r="AM71" s="20" t="s">
        <v>30</v>
      </c>
      <c r="AN71" s="21">
        <v>9092.0</v>
      </c>
      <c r="AO71" s="21">
        <v>20.0</v>
      </c>
      <c r="AP71" s="20">
        <v>2030.0</v>
      </c>
      <c r="AQ71" s="20">
        <v>0.98</v>
      </c>
    </row>
    <row r="72" ht="22.5" customHeight="1">
      <c r="B72" s="32" t="s">
        <v>51</v>
      </c>
      <c r="C72" s="22">
        <f>MINIFS(Tabla_2[Costo_Total],Tabla_2[Instancia],$B72,Tabla_2[Configuracion],$C$5,Tabla_2[Num_Pistas],5)</f>
        <v>51727</v>
      </c>
      <c r="D72" s="23">
        <f>AVERAGEIFS(Tabla_2[Costo_Total],Tabla_2[Instancia],B72,Tabla_2[Configuracion],C$5,Tabla_2[Num_Pistas],5)</f>
        <v>51727</v>
      </c>
      <c r="E72" s="23">
        <f>IFERROR(__xludf.DUMMYFUNCTION("STDEV(FILTER(Tabla_2[Costo_Total],Tabla_2[Instancia]=$B72,Tabla_2[Configuracion]=$C$5,Tabla_2[Num_Pistas]=5))"),0.0)</f>
        <v>0</v>
      </c>
      <c r="F72" s="24">
        <f>AVERAGEIFS(Tabla_2[Tiempo],Tabla_2[Instancia],$B72,Tabla_2[Configuracion],$C$5,Tabla_2[Num_Pistas],5)</f>
        <v>13718.4125</v>
      </c>
      <c r="G72" s="22">
        <f>MINIFS(Tabla_2[Costo_Total],Tabla_2[Instancia],$B72,Tabla_2[Configuracion],$G$5,Tabla_2[Num_Pistas],5)</f>
        <v>51727</v>
      </c>
      <c r="H72" s="23">
        <f>AVERAGEIFS(Tabla_2[Costo_Total],Tabla_2[Instancia],B72,Tabla_2[Configuracion],G$5,Tabla_2[Num_Pistas],5)</f>
        <v>51727</v>
      </c>
      <c r="I72" s="23">
        <f>IFERROR(__xludf.DUMMYFUNCTION("STDEV(FILTER(Tabla_2[Costo_Total],Tabla_2[Instancia]=$B72,Tabla_2[Configuracion]=$G$5,Tabla_2[Num_Pistas]=5))"),0.0)</f>
        <v>0</v>
      </c>
      <c r="J72" s="24">
        <f>AVERAGEIFS(Tabla_2[Tiempo],Tabla_2[Instancia],$B72,Tabla_2[Configuracion],$G$5, Tabla_2[Num_Pistas],5)</f>
        <v>1230.054</v>
      </c>
      <c r="K72" s="22">
        <f>MINIFS(Tabla_2[Costo_Total],Tabla_2[Instancia],$B72,Tabla_2[Configuracion],$K$5,Tabla_2[Num_Pistas],5)</f>
        <v>51727</v>
      </c>
      <c r="L72" s="23">
        <f>AVERAGEIFS(Tabla_2[Costo_Total],Tabla_2[Instancia],B72,Tabla_2[Configuracion],K$5,Tabla_2[Num_Pistas],5)</f>
        <v>51762.1</v>
      </c>
      <c r="M72" s="23">
        <f>IFERROR(__xludf.DUMMYFUNCTION("STDEV(FILTER(Tabla_2[Costo_Total],Tabla_2[Instancia]=$B72,Tabla_2[Configuracion]=$K$5,Tabla_2[Num_Pistas]=5))"),110.99594587191041)</f>
        <v>110.9959459</v>
      </c>
      <c r="N72" s="24">
        <f>AVERAGEIFS(Tabla_2[Tiempo],Tabla_2[Instancia],$B72,Tabla_2[Configuracion],$K$5,Tabla_2[Num_Pistas],5)</f>
        <v>1181.438</v>
      </c>
      <c r="O72" s="22">
        <f>MINIFS(Tabla_2[Costo_Total],Tabla_2[Instancia],$B72,Tabla_2[Configuracion],$O$5,Tabla_2[Num_Pistas],5)</f>
        <v>51727</v>
      </c>
      <c r="P72" s="23">
        <f>AVERAGEIFS(Tabla_2[Costo_Total],Tabla_2[Instancia],B72,Tabla_2[Configuracion],O$5,Tabla_2[Num_Pistas],5)</f>
        <v>51762.1</v>
      </c>
      <c r="Q72" s="23">
        <f>IFERROR(__xludf.DUMMYFUNCTION("STDEV(FILTER(Tabla_2[Costo_Total],Tabla_2[Instancia]=$B72,Tabla_2[Configuracion]=$O$5,Tabla_2[Num_Pistas]=5))"),110.99594587191041)</f>
        <v>110.9959459</v>
      </c>
      <c r="R72" s="24">
        <f>AVERAGEIFS(Tabla_2[Tiempo],Tabla_2[Instancia],$B72,Tabla_2[Configuracion],$O$5,Tabla_2[Num_Pistas],5)</f>
        <v>1213.674</v>
      </c>
      <c r="S72" s="25">
        <f t="shared" si="25"/>
        <v>51727</v>
      </c>
      <c r="AJ72" s="20" t="s">
        <v>28</v>
      </c>
      <c r="AK72" s="21">
        <v>1.0</v>
      </c>
      <c r="AL72" s="20" t="s">
        <v>4</v>
      </c>
      <c r="AM72" s="20" t="s">
        <v>34</v>
      </c>
      <c r="AN72" s="21">
        <v>4996.0</v>
      </c>
      <c r="AO72" s="21">
        <v>10.0</v>
      </c>
      <c r="AP72" s="20">
        <v>24442.0</v>
      </c>
      <c r="AQ72" s="20">
        <v>1.03</v>
      </c>
    </row>
    <row r="73" ht="22.5" customHeight="1">
      <c r="B73" s="32" t="s">
        <v>52</v>
      </c>
      <c r="C73" s="22">
        <f>MINIFS(Tabla_2[Costo_Total],Tabla_2[Instancia],$B73,Tabla_2[Configuracion],$C$5,Tabla_2[Num_Pistas],5)</f>
        <v>50654</v>
      </c>
      <c r="D73" s="23">
        <f>AVERAGEIFS(Tabla_2[Costo_Total],Tabla_2[Instancia],B73,Tabla_2[Configuracion],C$5,Tabla_2[Num_Pistas],5)</f>
        <v>50714</v>
      </c>
      <c r="E73" s="23">
        <f>IFERROR(__xludf.DUMMYFUNCTION("STDEV(FILTER(Tabla_2[Costo_Total],Tabla_2[Instancia]=$B73,Tabla_2[Configuracion]=$C$5,Tabla_2[Num_Pistas]=5))"),82.15838362577492)</f>
        <v>82.15838363</v>
      </c>
      <c r="F73" s="24">
        <f>AVERAGEIFS(Tabla_2[Tiempo],Tabla_2[Instancia],$B73,Tabla_2[Configuracion],$C$5,Tabla_2[Num_Pistas],5)</f>
        <v>1281.198</v>
      </c>
      <c r="G73" s="22">
        <f>MINIFS(Tabla_2[Costo_Total],Tabla_2[Instancia],$B73,Tabla_2[Configuracion],$G$5,Tabla_2[Num_Pistas],5)</f>
        <v>50654</v>
      </c>
      <c r="H73" s="23">
        <f>AVERAGEIFS(Tabla_2[Costo_Total],Tabla_2[Instancia],B73,Tabla_2[Configuracion],G$5,Tabla_2[Num_Pistas],5)</f>
        <v>50714</v>
      </c>
      <c r="I73" s="23">
        <f>IFERROR(__xludf.DUMMYFUNCTION("STDEV(FILTER(Tabla_2[Costo_Total],Tabla_2[Instancia]=$B73,Tabla_2[Configuracion]=$G$5,Tabla_2[Num_Pistas]=5))"),82.15838362577492)</f>
        <v>82.15838363</v>
      </c>
      <c r="J73" s="24">
        <f>AVERAGEIFS(Tabla_2[Tiempo],Tabla_2[Instancia],$B73,Tabla_2[Configuracion],$G$5, Tabla_2[Num_Pistas],5)</f>
        <v>1301.756</v>
      </c>
      <c r="K73" s="22">
        <f>MINIFS(Tabla_2[Costo_Total],Tabla_2[Instancia],$B73,Tabla_2[Configuracion],$K$5,Tabla_2[Num_Pistas],5)</f>
        <v>50654</v>
      </c>
      <c r="L73" s="23">
        <f>AVERAGEIFS(Tabla_2[Costo_Total],Tabla_2[Instancia],B73,Tabla_2[Configuracion],K$5,Tabla_2[Num_Pistas],5)</f>
        <v>50699</v>
      </c>
      <c r="M73" s="23">
        <f>IFERROR(__xludf.DUMMYFUNCTION("STDEV(FILTER(Tabla_2[Costo_Total],Tabla_2[Instancia]=$B73,Tabla_2[Configuracion]=$K$5,Tabla_2[Num_Pistas]=5))"),72.45688373094679)</f>
        <v>72.45688373</v>
      </c>
      <c r="N73" s="24">
        <f>AVERAGEIFS(Tabla_2[Tiempo],Tabla_2[Instancia],$B73,Tabla_2[Configuracion],$K$5,Tabla_2[Num_Pistas],5)</f>
        <v>1235.703</v>
      </c>
      <c r="O73" s="22">
        <f>MINIFS(Tabla_2[Costo_Total],Tabla_2[Instancia],$B73,Tabla_2[Configuracion],$O$5,Tabla_2[Num_Pistas],5)</f>
        <v>50654</v>
      </c>
      <c r="P73" s="23">
        <f>AVERAGEIFS(Tabla_2[Costo_Total],Tabla_2[Instancia],B73,Tabla_2[Configuracion],O$5,Tabla_2[Num_Pistas],5)</f>
        <v>50699</v>
      </c>
      <c r="Q73" s="23">
        <f>IFERROR(__xludf.DUMMYFUNCTION("STDEV(FILTER(Tabla_2[Costo_Total],Tabla_2[Instancia]=$B73,Tabla_2[Configuracion]=$O$5,Tabla_2[Num_Pistas]=5))"),72.456883730947)</f>
        <v>72.45688373</v>
      </c>
      <c r="R73" s="24">
        <f>AVERAGEIFS(Tabla_2[Tiempo],Tabla_2[Instancia],$B73,Tabla_2[Configuracion],$O$5,Tabla_2[Num_Pistas],5)</f>
        <v>1268.106</v>
      </c>
      <c r="S73" s="25">
        <f t="shared" si="25"/>
        <v>50654</v>
      </c>
      <c r="AJ73" s="20" t="s">
        <v>28</v>
      </c>
      <c r="AK73" s="21">
        <v>1.0</v>
      </c>
      <c r="AL73" s="20" t="s">
        <v>5</v>
      </c>
      <c r="AM73" s="20" t="s">
        <v>30</v>
      </c>
      <c r="AN73" s="21">
        <v>17284.0</v>
      </c>
      <c r="AO73" s="21">
        <v>20.0</v>
      </c>
      <c r="AP73" s="20">
        <v>2030.0</v>
      </c>
      <c r="AQ73" s="20">
        <v>1.03</v>
      </c>
    </row>
    <row r="74" ht="22.5" customHeight="1">
      <c r="B74" s="32" t="s">
        <v>53</v>
      </c>
      <c r="C74" s="22">
        <f>MINIFS(Tabla_2[Costo_Total],Tabla_2[Instancia],$B74,Tabla_2[Configuracion],$C$5,Tabla_2[Num_Pistas],5)</f>
        <v>45960</v>
      </c>
      <c r="D74" s="23">
        <f>AVERAGEIFS(Tabla_2[Costo_Total],Tabla_2[Instancia],B74,Tabla_2[Configuracion],C$5,Tabla_2[Num_Pistas],5)</f>
        <v>46006.8</v>
      </c>
      <c r="E74" s="23">
        <f>IFERROR(__xludf.DUMMYFUNCTION("STDEV(FILTER(Tabla_2[Costo_Total],Tabla_2[Instancia]=$B74,Tabla_2[Configuracion]=$C$5,Tabla_2[Num_Pistas]=5))"),82.28730157199159)</f>
        <v>82.28730157</v>
      </c>
      <c r="F74" s="24">
        <f>AVERAGEIFS(Tabla_2[Tiempo],Tabla_2[Instancia],$B74,Tabla_2[Configuracion],$C$5,Tabla_2[Num_Pistas],5)</f>
        <v>1386.248</v>
      </c>
      <c r="G74" s="22">
        <f>MINIFS(Tabla_2[Costo_Total],Tabla_2[Instancia],$B74,Tabla_2[Configuracion],$G$5,Tabla_2[Num_Pistas],5)</f>
        <v>45960</v>
      </c>
      <c r="H74" s="23">
        <f>AVERAGEIFS(Tabla_2[Costo_Total],Tabla_2[Instancia],B74,Tabla_2[Configuracion],G$5,Tabla_2[Num_Pistas],5)</f>
        <v>46006.8</v>
      </c>
      <c r="I74" s="23">
        <f>IFERROR(__xludf.DUMMYFUNCTION("STDEV(FILTER(Tabla_2[Costo_Total],Tabla_2[Instancia]=$B74,Tabla_2[Configuracion]=$G$5,Tabla_2[Num_Pistas]=5))"),82.28730157199159)</f>
        <v>82.28730157</v>
      </c>
      <c r="J74" s="24">
        <f>AVERAGEIFS(Tabla_2[Tiempo],Tabla_2[Instancia],$B74,Tabla_2[Configuracion],$G$5, Tabla_2[Num_Pistas],5)</f>
        <v>1394.082</v>
      </c>
      <c r="K74" s="22">
        <f>MINIFS(Tabla_2[Costo_Total],Tabla_2[Instancia],$B74,Tabla_2[Configuracion],$K$5,Tabla_2[Num_Pistas],5)</f>
        <v>45960</v>
      </c>
      <c r="L74" s="23">
        <f>AVERAGEIFS(Tabla_2[Costo_Total],Tabla_2[Instancia],B74,Tabla_2[Configuracion],K$5,Tabla_2[Num_Pistas],5)</f>
        <v>46010.6</v>
      </c>
      <c r="M74" s="23">
        <f>IFERROR(__xludf.DUMMYFUNCTION("STDEV(FILTER(Tabla_2[Costo_Total],Tabla_2[Instancia]=$B74,Tabla_2[Configuracion]=$K$5,Tabla_2[Num_Pistas]=5))"),63.932603402159586)</f>
        <v>63.9326034</v>
      </c>
      <c r="N74" s="24">
        <f>AVERAGEIFS(Tabla_2[Tiempo],Tabla_2[Instancia],$B74,Tabla_2[Configuracion],$K$5,Tabla_2[Num_Pistas],5)</f>
        <v>1322.423</v>
      </c>
      <c r="O74" s="22">
        <f>MINIFS(Tabla_2[Costo_Total],Tabla_2[Instancia],$B74,Tabla_2[Configuracion],$O$5,Tabla_2[Num_Pistas],5)</f>
        <v>45960</v>
      </c>
      <c r="P74" s="23">
        <f>AVERAGEIFS(Tabla_2[Costo_Total],Tabla_2[Instancia],B74,Tabla_2[Configuracion],O$5,Tabla_2[Num_Pistas],5)</f>
        <v>46010.6</v>
      </c>
      <c r="Q74" s="23">
        <f>IFERROR(__xludf.DUMMYFUNCTION("STDEV(FILTER(Tabla_2[Costo_Total],Tabla_2[Instancia]=$B74,Tabla_2[Configuracion]=$O$5,Tabla_2[Num_Pistas]=5))"),63.93260340215899)</f>
        <v>63.9326034</v>
      </c>
      <c r="R74" s="24">
        <f>AVERAGEIFS(Tabla_2[Tiempo],Tabla_2[Instancia],$B74,Tabla_2[Configuracion],$O$5,Tabla_2[Num_Pistas],5)</f>
        <v>1359.95</v>
      </c>
      <c r="S74" s="25">
        <f t="shared" si="25"/>
        <v>45960</v>
      </c>
      <c r="AJ74" s="20" t="s">
        <v>28</v>
      </c>
      <c r="AK74" s="21">
        <v>1.0</v>
      </c>
      <c r="AL74" s="20" t="s">
        <v>4</v>
      </c>
      <c r="AM74" s="20" t="s">
        <v>30</v>
      </c>
      <c r="AN74" s="21">
        <v>1412.0</v>
      </c>
      <c r="AO74" s="21">
        <v>10.0</v>
      </c>
      <c r="AP74" s="20">
        <v>2030.0</v>
      </c>
      <c r="AQ74" s="20">
        <v>1.09</v>
      </c>
    </row>
    <row r="75" ht="22.5" customHeight="1">
      <c r="B75" s="32" t="s">
        <v>54</v>
      </c>
      <c r="C75" s="22">
        <f>MINIFS(Tabla_2[Costo_Total],Tabla_2[Instancia],$B75,Tabla_2[Configuracion],$C$5,Tabla_2[Num_Pistas],5)</f>
        <v>50404</v>
      </c>
      <c r="D75" s="23">
        <f>AVERAGEIFS(Tabla_2[Costo_Total],Tabla_2[Instancia],B75,Tabla_2[Configuracion],C$5,Tabla_2[Num_Pistas],5)</f>
        <v>50414</v>
      </c>
      <c r="E75" s="23">
        <f>IFERROR(__xludf.DUMMYFUNCTION("STDEV(FILTER(Tabla_2[Costo_Total],Tabla_2[Instancia]=$B75,Tabla_2[Configuracion]=$C$5,Tabla_2[Num_Pistas]=5))"),10.0)</f>
        <v>10</v>
      </c>
      <c r="F75" s="24">
        <f>AVERAGEIFS(Tabla_2[Tiempo],Tabla_2[Instancia],$B75,Tabla_2[Configuracion],$C$5,Tabla_2[Num_Pistas],5)</f>
        <v>1332.996</v>
      </c>
      <c r="G75" s="22">
        <f>MINIFS(Tabla_2[Costo_Total],Tabla_2[Instancia],$B75,Tabla_2[Configuracion],$G$5,Tabla_2[Num_Pistas],5)</f>
        <v>50404</v>
      </c>
      <c r="H75" s="23">
        <f>AVERAGEIFS(Tabla_2[Costo_Total],Tabla_2[Instancia],B75,Tabla_2[Configuracion],G$5,Tabla_2[Num_Pistas],5)</f>
        <v>50414</v>
      </c>
      <c r="I75" s="23">
        <f>IFERROR(__xludf.DUMMYFUNCTION("STDEV(FILTER(Tabla_2[Costo_Total],Tabla_2[Instancia]=$B75,Tabla_2[Configuracion]=$G$5,Tabla_2[Num_Pistas]=5))"),10.0)</f>
        <v>10</v>
      </c>
      <c r="J75" s="24">
        <f>AVERAGEIFS(Tabla_2[Tiempo],Tabla_2[Instancia],$B75,Tabla_2[Configuracion],$G$5, Tabla_2[Num_Pistas],5)</f>
        <v>1347.936</v>
      </c>
      <c r="K75" s="22">
        <f>MINIFS(Tabla_2[Costo_Total],Tabla_2[Instancia],$B75,Tabla_2[Configuracion],$K$5,Tabla_2[Num_Pistas],5)</f>
        <v>50404</v>
      </c>
      <c r="L75" s="23">
        <f>AVERAGEIFS(Tabla_2[Costo_Total],Tabla_2[Instancia],B75,Tabla_2[Configuracion],K$5,Tabla_2[Num_Pistas],5)</f>
        <v>50419.2</v>
      </c>
      <c r="M75" s="23">
        <f>IFERROR(__xludf.DUMMYFUNCTION("STDEV(FILTER(Tabla_2[Costo_Total],Tabla_2[Instancia]=$B75,Tabla_2[Configuracion]=$K$5,Tabla_2[Num_Pistas]=5))"),16.164432835360802)</f>
        <v>16.16443284</v>
      </c>
      <c r="N75" s="24">
        <f>AVERAGEIFS(Tabla_2[Tiempo],Tabla_2[Instancia],$B75,Tabla_2[Configuracion],$K$5,Tabla_2[Num_Pistas],5)</f>
        <v>1302.782</v>
      </c>
      <c r="O75" s="22">
        <f>MINIFS(Tabla_2[Costo_Total],Tabla_2[Instancia],$B75,Tabla_2[Configuracion],$O$5,Tabla_2[Num_Pistas],5)</f>
        <v>50404</v>
      </c>
      <c r="P75" s="23">
        <f>AVERAGEIFS(Tabla_2[Costo_Total],Tabla_2[Instancia],B75,Tabla_2[Configuracion],O$5,Tabla_2[Num_Pistas],5)</f>
        <v>50418.66667</v>
      </c>
      <c r="Q75" s="23">
        <f>IFERROR(__xludf.DUMMYFUNCTION("STDEV(FILTER(Tabla_2[Costo_Total],Tabla_2[Instancia]=$B75,Tabla_2[Configuracion]=$O$5,Tabla_2[Num_Pistas]=5))"),17.051392904980116)</f>
        <v>17.0513929</v>
      </c>
      <c r="R75" s="24">
        <f>AVERAGEIFS(Tabla_2[Tiempo],Tabla_2[Instancia],$B75,Tabla_2[Configuracion],$O$5,Tabla_2[Num_Pistas],5)</f>
        <v>6900.585556</v>
      </c>
      <c r="S75" s="25">
        <f t="shared" si="25"/>
        <v>50404</v>
      </c>
      <c r="AJ75" s="20" t="s">
        <v>28</v>
      </c>
      <c r="AK75" s="21">
        <v>1.0</v>
      </c>
      <c r="AL75" s="20" t="s">
        <v>3</v>
      </c>
      <c r="AM75" s="20" t="s">
        <v>30</v>
      </c>
      <c r="AN75" s="21">
        <v>4996.0</v>
      </c>
      <c r="AO75" s="21">
        <v>20.0</v>
      </c>
      <c r="AP75" s="20">
        <v>1720.0</v>
      </c>
      <c r="AQ75" s="20">
        <v>1.09</v>
      </c>
    </row>
    <row r="76" ht="22.5" customHeight="1">
      <c r="B76" s="32" t="s">
        <v>55</v>
      </c>
      <c r="C76" s="22">
        <f>MINIFS(Tabla_2[Costo_Total],Tabla_2[Instancia],$B76,Tabla_2[Configuracion],$C$5,Tabla_2[Num_Pistas],5)</f>
        <v>55987</v>
      </c>
      <c r="D76" s="23">
        <f>AVERAGEIFS(Tabla_2[Costo_Total],Tabla_2[Instancia],B76,Tabla_2[Configuracion],C$5,Tabla_2[Num_Pistas],5)</f>
        <v>56001.4</v>
      </c>
      <c r="E76" s="23">
        <f>IFERROR(__xludf.DUMMYFUNCTION("STDEV(FILTER(Tabla_2[Costo_Total],Tabla_2[Instancia]=$B76,Tabla_2[Configuracion]=$C$5,Tabla_2[Num_Pistas]=5))"),19.718012070186145)</f>
        <v>19.71801207</v>
      </c>
      <c r="F76" s="24">
        <f>AVERAGEIFS(Tabla_2[Tiempo],Tabla_2[Instancia],$B76,Tabla_2[Configuracion],$C$5,Tabla_2[Num_Pistas],5)</f>
        <v>1287.784</v>
      </c>
      <c r="G76" s="22">
        <f>MINIFS(Tabla_2[Costo_Total],Tabla_2[Instancia],$B76,Tabla_2[Configuracion],$G$5,Tabla_2[Num_Pistas],5)</f>
        <v>55987</v>
      </c>
      <c r="H76" s="23">
        <f>AVERAGEIFS(Tabla_2[Costo_Total],Tabla_2[Instancia],B76,Tabla_2[Configuracion],G$5,Tabla_2[Num_Pistas],5)</f>
        <v>56001.4</v>
      </c>
      <c r="I76" s="23">
        <f>IFERROR(__xludf.DUMMYFUNCTION("STDEV(FILTER(Tabla_2[Costo_Total],Tabla_2[Instancia]=$B76,Tabla_2[Configuracion]=$G$5,Tabla_2[Num_Pistas]=5))"),19.718012070186145)</f>
        <v>19.71801207</v>
      </c>
      <c r="J76" s="24">
        <f>AVERAGEIFS(Tabla_2[Tiempo],Tabla_2[Instancia],$B76,Tabla_2[Configuracion],$G$5, Tabla_2[Num_Pistas],5)</f>
        <v>1299.904</v>
      </c>
      <c r="K76" s="22">
        <f>MINIFS(Tabla_2[Costo_Total],Tabla_2[Instancia],$B76,Tabla_2[Configuracion],$K$5,Tabla_2[Num_Pistas],5)</f>
        <v>55987</v>
      </c>
      <c r="L76" s="23">
        <f>AVERAGEIFS(Tabla_2[Costo_Total],Tabla_2[Instancia],B76,Tabla_2[Configuracion],K$5,Tabla_2[Num_Pistas],5)</f>
        <v>56005</v>
      </c>
      <c r="M76" s="23">
        <f>IFERROR(__xludf.DUMMYFUNCTION("STDEV(FILTER(Tabla_2[Costo_Total],Tabla_2[Instancia]=$B76,Tabla_2[Configuracion]=$K$5,Tabla_2[Num_Pistas]=5))"),19.242809417694314)</f>
        <v>19.24280942</v>
      </c>
      <c r="N76" s="24">
        <f>AVERAGEIFS(Tabla_2[Tiempo],Tabla_2[Instancia],$B76,Tabla_2[Configuracion],$K$5,Tabla_2[Num_Pistas],5)</f>
        <v>7477.6325</v>
      </c>
      <c r="O76" s="22">
        <f>MINIFS(Tabla_2[Costo_Total],Tabla_2[Instancia],$B76,Tabla_2[Configuracion],$O$5,Tabla_2[Num_Pistas],5)</f>
        <v>55987</v>
      </c>
      <c r="P76" s="23">
        <f>AVERAGEIFS(Tabla_2[Costo_Total],Tabla_2[Instancia],B76,Tabla_2[Configuracion],O$5,Tabla_2[Num_Pistas],5)</f>
        <v>56007</v>
      </c>
      <c r="Q76" s="23">
        <f>IFERROR(__xludf.DUMMYFUNCTION("STDEV(FILTER(Tabla_2[Costo_Total],Tabla_2[Instancia]=$B76,Tabla_2[Configuracion]=$O$5,Tabla_2[Num_Pistas]=5))"),18.973665961010276)</f>
        <v>18.97366596</v>
      </c>
      <c r="R76" s="24">
        <f>AVERAGEIFS(Tabla_2[Tiempo],Tabla_2[Instancia],$B76,Tabla_2[Configuracion],$O$5,Tabla_2[Num_Pistas],5)</f>
        <v>6836.494444</v>
      </c>
      <c r="S76" s="25">
        <f t="shared" si="25"/>
        <v>55987</v>
      </c>
      <c r="AJ76" s="20" t="s">
        <v>28</v>
      </c>
      <c r="AK76" s="21">
        <v>1.0</v>
      </c>
      <c r="AL76" s="20" t="s">
        <v>4</v>
      </c>
      <c r="AM76" s="20" t="s">
        <v>34</v>
      </c>
      <c r="AN76" s="21">
        <v>66436.0</v>
      </c>
      <c r="AO76" s="21">
        <v>10.0</v>
      </c>
      <c r="AP76" s="20">
        <v>24442.0</v>
      </c>
      <c r="AQ76" s="20">
        <v>1.27</v>
      </c>
    </row>
    <row r="77" ht="22.5" customHeight="1">
      <c r="B77" s="32" t="s">
        <v>56</v>
      </c>
      <c r="C77" s="22">
        <f>MINIFS(Tabla_2[Costo_Total],Tabla_2[Instancia],$B77,Tabla_2[Configuracion],$C$5,Tabla_2[Num_Pistas],5)</f>
        <v>53728</v>
      </c>
      <c r="D77" s="23">
        <f>AVERAGEIFS(Tabla_2[Costo_Total],Tabla_2[Instancia],B77,Tabla_2[Configuracion],C$5,Tabla_2[Num_Pistas],5)</f>
        <v>53728</v>
      </c>
      <c r="E77" s="23">
        <f>IFERROR(__xludf.DUMMYFUNCTION("STDEV(FILTER(Tabla_2[Costo_Total],Tabla_2[Instancia]=$B77,Tabla_2[Configuracion]=$C$5,Tabla_2[Num_Pistas]=5))"),0.0)</f>
        <v>0</v>
      </c>
      <c r="F77" s="24">
        <f>AVERAGEIFS(Tabla_2[Tiempo],Tabla_2[Instancia],$B77,Tabla_2[Configuracion],$C$5,Tabla_2[Num_Pistas],5)</f>
        <v>1283.492</v>
      </c>
      <c r="G77" s="22">
        <f>MINIFS(Tabla_2[Costo_Total],Tabla_2[Instancia],$B77,Tabla_2[Configuracion],$G$5,Tabla_2[Num_Pistas],5)</f>
        <v>53728</v>
      </c>
      <c r="H77" s="23">
        <f>AVERAGEIFS(Tabla_2[Costo_Total],Tabla_2[Instancia],B77,Tabla_2[Configuracion],G$5,Tabla_2[Num_Pistas],5)</f>
        <v>53728</v>
      </c>
      <c r="I77" s="23">
        <f>IFERROR(__xludf.DUMMYFUNCTION("STDEV(FILTER(Tabla_2[Costo_Total],Tabla_2[Instancia]=$B77,Tabla_2[Configuracion]=$G$5,Tabla_2[Num_Pistas]=5))"),0.0)</f>
        <v>0</v>
      </c>
      <c r="J77" s="24">
        <f>AVERAGEIFS(Tabla_2[Tiempo],Tabla_2[Instancia],$B77,Tabla_2[Configuracion],$G$5, Tabla_2[Num_Pistas],5)</f>
        <v>1298.702</v>
      </c>
      <c r="K77" s="22">
        <f>MINIFS(Tabla_2[Costo_Total],Tabla_2[Instancia],$B77,Tabla_2[Configuracion],$K$5,Tabla_2[Num_Pistas],5)</f>
        <v>53728</v>
      </c>
      <c r="L77" s="23">
        <f>AVERAGEIFS(Tabla_2[Costo_Total],Tabla_2[Instancia],B77,Tabla_2[Configuracion],K$5,Tabla_2[Num_Pistas],5)</f>
        <v>53728</v>
      </c>
      <c r="M77" s="23">
        <f>IFERROR(__xludf.DUMMYFUNCTION("STDEV(FILTER(Tabla_2[Costo_Total],Tabla_2[Instancia]=$B77,Tabla_2[Configuracion]=$K$5,Tabla_2[Num_Pistas]=5))"),0.0)</f>
        <v>0</v>
      </c>
      <c r="N77" s="24">
        <f>AVERAGEIFS(Tabla_2[Tiempo],Tabla_2[Instancia],$B77,Tabla_2[Configuracion],$K$5,Tabla_2[Num_Pistas],5)</f>
        <v>6798.093333</v>
      </c>
      <c r="O77" s="22">
        <f>MINIFS(Tabla_2[Costo_Total],Tabla_2[Instancia],$B77,Tabla_2[Configuracion],$O$5,Tabla_2[Num_Pistas],5)</f>
        <v>53728</v>
      </c>
      <c r="P77" s="23">
        <f>AVERAGEIFS(Tabla_2[Costo_Total],Tabla_2[Instancia],B77,Tabla_2[Configuracion],O$5,Tabla_2[Num_Pistas],5)</f>
        <v>53728</v>
      </c>
      <c r="Q77" s="23">
        <f>IFERROR(__xludf.DUMMYFUNCTION("STDEV(FILTER(Tabla_2[Costo_Total],Tabla_2[Instancia]=$B77,Tabla_2[Configuracion]=$O$5,Tabla_2[Num_Pistas]=5))"),0.0)</f>
        <v>0</v>
      </c>
      <c r="R77" s="24">
        <f>AVERAGEIFS(Tabla_2[Tiempo],Tabla_2[Instancia],$B77,Tabla_2[Configuracion],$O$5,Tabla_2[Num_Pistas],5)</f>
        <v>1294.168</v>
      </c>
      <c r="S77" s="25">
        <f t="shared" si="25"/>
        <v>53728</v>
      </c>
      <c r="AJ77" s="20" t="s">
        <v>28</v>
      </c>
      <c r="AK77" s="21">
        <v>1.0</v>
      </c>
      <c r="AL77" s="20" t="s">
        <v>3</v>
      </c>
      <c r="AM77" s="20" t="s">
        <v>34</v>
      </c>
      <c r="AN77" s="21">
        <v>2948.0</v>
      </c>
      <c r="AO77" s="21">
        <v>20.0</v>
      </c>
      <c r="AP77" s="20">
        <v>24442.0</v>
      </c>
      <c r="AQ77" s="20">
        <v>1.3</v>
      </c>
    </row>
    <row r="78" ht="22.5" customHeight="1">
      <c r="B78" s="32" t="s">
        <v>57</v>
      </c>
      <c r="C78" s="22">
        <f>MINIFS(Tabla_2[Costo_Total],Tabla_2[Instancia],$B78,Tabla_2[Configuracion],$C$5,Tabla_2[Num_Pistas],5)</f>
        <v>55771</v>
      </c>
      <c r="D78" s="23">
        <f>AVERAGEIFS(Tabla_2[Costo_Total],Tabla_2[Instancia],B78,Tabla_2[Configuracion],C$5,Tabla_2[Num_Pistas],5)</f>
        <v>56090.8</v>
      </c>
      <c r="E78" s="23">
        <f>IFERROR(__xludf.DUMMYFUNCTION("STDEV(FILTER(Tabla_2[Costo_Total],Tabla_2[Instancia]=$B78,Tabla_2[Configuracion]=$C$5,Tabla_2[Num_Pistas]=5))"),286.2581003220689)</f>
        <v>286.2581003</v>
      </c>
      <c r="F78" s="24">
        <f>AVERAGEIFS(Tabla_2[Tiempo],Tabla_2[Instancia],$B78,Tabla_2[Configuracion],$C$5,Tabla_2[Num_Pistas],5)</f>
        <v>1386.992</v>
      </c>
      <c r="G78" s="22">
        <f>MINIFS(Tabla_2[Costo_Total],Tabla_2[Instancia],$B78,Tabla_2[Configuracion],$G$5,Tabla_2[Num_Pistas],5)</f>
        <v>55771</v>
      </c>
      <c r="H78" s="23">
        <f>AVERAGEIFS(Tabla_2[Costo_Total],Tabla_2[Instancia],B78,Tabla_2[Configuracion],G$5,Tabla_2[Num_Pistas],5)</f>
        <v>56090.8</v>
      </c>
      <c r="I78" s="23">
        <f>IFERROR(__xludf.DUMMYFUNCTION("STDEV(FILTER(Tabla_2[Costo_Total],Tabla_2[Instancia]=$B78,Tabla_2[Configuracion]=$G$5,Tabla_2[Num_Pistas]=5))"),286.2581003220689)</f>
        <v>286.2581003</v>
      </c>
      <c r="J78" s="24">
        <f>AVERAGEIFS(Tabla_2[Tiempo],Tabla_2[Instancia],$B78,Tabla_2[Configuracion],$G$5, Tabla_2[Num_Pistas],5)</f>
        <v>1393.146</v>
      </c>
      <c r="K78" s="22">
        <f>MINIFS(Tabla_2[Costo_Total],Tabla_2[Instancia],$B78,Tabla_2[Configuracion],$K$5,Tabla_2[Num_Pistas],5)</f>
        <v>55771</v>
      </c>
      <c r="L78" s="23">
        <f>AVERAGEIFS(Tabla_2[Costo_Total],Tabla_2[Instancia],B78,Tabla_2[Configuracion],K$5,Tabla_2[Num_Pistas],5)</f>
        <v>56104.6</v>
      </c>
      <c r="M78" s="23">
        <f>IFERROR(__xludf.DUMMYFUNCTION("STDEV(FILTER(Tabla_2[Costo_Total],Tabla_2[Instancia]=$B78,Tabla_2[Configuracion]=$K$5,Tabla_2[Num_Pistas]=5))"),300.24404888172006)</f>
        <v>300.2440489</v>
      </c>
      <c r="N78" s="24">
        <f>AVERAGEIFS(Tabla_2[Tiempo],Tabla_2[Instancia],$B78,Tabla_2[Configuracion],$K$5,Tabla_2[Num_Pistas],5)</f>
        <v>1359.747</v>
      </c>
      <c r="O78" s="22">
        <f>MINIFS(Tabla_2[Costo_Total],Tabla_2[Instancia],$B78,Tabla_2[Configuracion],$O$5,Tabla_2[Num_Pistas],5)</f>
        <v>55771</v>
      </c>
      <c r="P78" s="23">
        <f>AVERAGEIFS(Tabla_2[Costo_Total],Tabla_2[Instancia],B78,Tabla_2[Configuracion],O$5,Tabla_2[Num_Pistas],5)</f>
        <v>56104.6</v>
      </c>
      <c r="Q78" s="23">
        <f>IFERROR(__xludf.DUMMYFUNCTION("STDEV(FILTER(Tabla_2[Costo_Total],Tabla_2[Instancia]=$B78,Tabla_2[Configuracion]=$O$5,Tabla_2[Num_Pistas]=5))"),300.2440488817201)</f>
        <v>300.2440489</v>
      </c>
      <c r="R78" s="24">
        <f>AVERAGEIFS(Tabla_2[Tiempo],Tabla_2[Instancia],$B78,Tabla_2[Configuracion],$O$5,Tabla_2[Num_Pistas],5)</f>
        <v>1406.844</v>
      </c>
      <c r="S78" s="25">
        <f t="shared" si="25"/>
        <v>55771</v>
      </c>
      <c r="AJ78" s="20" t="s">
        <v>28</v>
      </c>
      <c r="AK78" s="21">
        <v>1.0</v>
      </c>
      <c r="AL78" s="20" t="s">
        <v>3</v>
      </c>
      <c r="AM78" s="20" t="s">
        <v>34</v>
      </c>
      <c r="AN78" s="21">
        <v>1924.0</v>
      </c>
      <c r="AO78" s="21">
        <v>20.0</v>
      </c>
      <c r="AP78" s="20">
        <v>24442.0</v>
      </c>
      <c r="AQ78" s="20">
        <v>1.31</v>
      </c>
    </row>
    <row r="79" ht="22.5" customHeight="1">
      <c r="S79" s="25">
        <f>AVERAGE(S67:S78)</f>
        <v>53029.25</v>
      </c>
      <c r="AJ79" s="20" t="s">
        <v>28</v>
      </c>
      <c r="AK79" s="21">
        <v>1.0</v>
      </c>
      <c r="AL79" s="20" t="s">
        <v>4</v>
      </c>
      <c r="AM79" s="20" t="s">
        <v>34</v>
      </c>
      <c r="AN79" s="21">
        <v>1156.0</v>
      </c>
      <c r="AO79" s="21">
        <v>10.0</v>
      </c>
      <c r="AP79" s="20">
        <v>24442.0</v>
      </c>
      <c r="AQ79" s="20">
        <v>1.32</v>
      </c>
    </row>
    <row r="80" ht="22.5" hidden="1" customHeight="1">
      <c r="B80" s="34"/>
      <c r="C80" s="34"/>
      <c r="D80" s="34"/>
      <c r="E80" s="34"/>
      <c r="AJ80" s="20" t="s">
        <v>28</v>
      </c>
      <c r="AK80" s="21">
        <v>1.0</v>
      </c>
      <c r="AL80" s="20" t="s">
        <v>2</v>
      </c>
      <c r="AM80" s="20" t="s">
        <v>34</v>
      </c>
      <c r="AN80" s="21">
        <v>1156.0</v>
      </c>
      <c r="AO80" s="21">
        <v>10.0</v>
      </c>
      <c r="AP80" s="20">
        <v>24442.0</v>
      </c>
      <c r="AQ80" s="20">
        <v>1.32</v>
      </c>
    </row>
    <row r="81" ht="22.5" hidden="1" customHeight="1">
      <c r="B81" s="34"/>
      <c r="C81" s="34"/>
      <c r="D81" s="34"/>
      <c r="E81" s="34"/>
      <c r="AJ81" s="20" t="s">
        <v>28</v>
      </c>
      <c r="AK81" s="21">
        <v>1.0</v>
      </c>
      <c r="AL81" s="20" t="s">
        <v>5</v>
      </c>
      <c r="AM81" s="20" t="s">
        <v>34</v>
      </c>
      <c r="AN81" s="21">
        <v>33668.0</v>
      </c>
      <c r="AO81" s="21">
        <v>20.0</v>
      </c>
      <c r="AP81" s="20">
        <v>24442.0</v>
      </c>
      <c r="AQ81" s="20">
        <v>1.33</v>
      </c>
    </row>
    <row r="82" ht="22.5" hidden="1" customHeight="1">
      <c r="B82" s="34"/>
      <c r="C82" s="34"/>
      <c r="D82" s="34"/>
      <c r="E82" s="34"/>
      <c r="AJ82" s="20" t="s">
        <v>28</v>
      </c>
      <c r="AK82" s="21">
        <v>1.0</v>
      </c>
      <c r="AL82" s="20" t="s">
        <v>5</v>
      </c>
      <c r="AM82" s="20" t="s">
        <v>34</v>
      </c>
      <c r="AN82" s="21">
        <v>66436.0</v>
      </c>
      <c r="AO82" s="21">
        <v>20.0</v>
      </c>
      <c r="AP82" s="20">
        <v>24442.0</v>
      </c>
      <c r="AQ82" s="20">
        <v>1.34</v>
      </c>
    </row>
    <row r="83" ht="22.5" hidden="1" customHeight="1">
      <c r="B83" s="34"/>
      <c r="C83" s="34"/>
      <c r="D83" s="34"/>
      <c r="E83" s="34"/>
      <c r="AJ83" s="20" t="s">
        <v>28</v>
      </c>
      <c r="AK83" s="21">
        <v>1.0</v>
      </c>
      <c r="AL83" s="20" t="s">
        <v>4</v>
      </c>
      <c r="AM83" s="20" t="s">
        <v>34</v>
      </c>
      <c r="AN83" s="21">
        <v>131972.0</v>
      </c>
      <c r="AO83" s="21">
        <v>10.0</v>
      </c>
      <c r="AP83" s="20">
        <v>24442.0</v>
      </c>
      <c r="AQ83" s="20">
        <v>1.36</v>
      </c>
    </row>
    <row r="84" ht="22.5" hidden="1" customHeight="1">
      <c r="B84" s="34"/>
      <c r="C84" s="34"/>
      <c r="D84" s="34"/>
      <c r="E84" s="34"/>
      <c r="AJ84" s="20" t="s">
        <v>28</v>
      </c>
      <c r="AK84" s="21">
        <v>1.0</v>
      </c>
      <c r="AL84" s="20" t="s">
        <v>3</v>
      </c>
      <c r="AM84" s="20" t="s">
        <v>34</v>
      </c>
      <c r="AN84" s="21">
        <v>1412.0</v>
      </c>
      <c r="AO84" s="21">
        <v>20.0</v>
      </c>
      <c r="AP84" s="20">
        <v>24442.0</v>
      </c>
      <c r="AQ84" s="20">
        <v>1.37</v>
      </c>
    </row>
    <row r="85" ht="22.5" hidden="1" customHeight="1">
      <c r="B85" s="34"/>
      <c r="C85" s="34"/>
      <c r="D85" s="34"/>
      <c r="E85" s="34"/>
      <c r="AJ85" s="20" t="s">
        <v>28</v>
      </c>
      <c r="AK85" s="21">
        <v>1.0</v>
      </c>
      <c r="AL85" s="20" t="s">
        <v>2</v>
      </c>
      <c r="AM85" s="20" t="s">
        <v>34</v>
      </c>
      <c r="AN85" s="21">
        <v>4996.0</v>
      </c>
      <c r="AO85" s="21">
        <v>10.0</v>
      </c>
      <c r="AP85" s="20">
        <v>24442.0</v>
      </c>
      <c r="AQ85" s="20">
        <v>1.39</v>
      </c>
    </row>
    <row r="86" ht="22.5" hidden="1" customHeight="1">
      <c r="B86" s="34"/>
      <c r="C86" s="34"/>
      <c r="D86" s="34"/>
      <c r="E86" s="34"/>
      <c r="AJ86" s="20" t="s">
        <v>28</v>
      </c>
      <c r="AK86" s="21">
        <v>1.0</v>
      </c>
      <c r="AL86" s="20" t="s">
        <v>5</v>
      </c>
      <c r="AM86" s="20" t="s">
        <v>34</v>
      </c>
      <c r="AN86" s="21">
        <v>1156.0</v>
      </c>
      <c r="AO86" s="21">
        <v>20.0</v>
      </c>
      <c r="AP86" s="20">
        <v>24442.0</v>
      </c>
      <c r="AQ86" s="20">
        <v>1.41</v>
      </c>
    </row>
    <row r="87" ht="22.5" hidden="1" customHeight="1">
      <c r="B87" s="34"/>
      <c r="C87" s="34"/>
      <c r="D87" s="34"/>
      <c r="E87" s="34"/>
      <c r="AJ87" s="20" t="s">
        <v>28</v>
      </c>
      <c r="AK87" s="21">
        <v>1.0</v>
      </c>
      <c r="AL87" s="20" t="s">
        <v>3</v>
      </c>
      <c r="AM87" s="20" t="s">
        <v>34</v>
      </c>
      <c r="AN87" s="21">
        <v>4996.0</v>
      </c>
      <c r="AO87" s="21">
        <v>20.0</v>
      </c>
      <c r="AP87" s="20">
        <v>24442.0</v>
      </c>
      <c r="AQ87" s="20">
        <v>1.41</v>
      </c>
    </row>
    <row r="88" ht="22.5" hidden="1" customHeight="1">
      <c r="B88" s="34"/>
      <c r="C88" s="34"/>
      <c r="D88" s="34"/>
      <c r="E88" s="34"/>
      <c r="AJ88" s="20" t="s">
        <v>28</v>
      </c>
      <c r="AK88" s="21">
        <v>1.0</v>
      </c>
      <c r="AL88" s="20" t="s">
        <v>5</v>
      </c>
      <c r="AM88" s="20" t="s">
        <v>34</v>
      </c>
      <c r="AN88" s="21">
        <v>17284.0</v>
      </c>
      <c r="AO88" s="21">
        <v>20.0</v>
      </c>
      <c r="AP88" s="20">
        <v>24442.0</v>
      </c>
      <c r="AQ88" s="20">
        <v>1.94</v>
      </c>
    </row>
    <row r="89" ht="22.5" hidden="1" customHeight="1">
      <c r="B89" s="34"/>
      <c r="C89" s="34"/>
      <c r="D89" s="34"/>
      <c r="E89" s="34"/>
      <c r="AJ89" s="20" t="s">
        <v>28</v>
      </c>
      <c r="AK89" s="21">
        <v>1.0</v>
      </c>
      <c r="AL89" s="20" t="s">
        <v>2</v>
      </c>
      <c r="AM89" s="20" t="s">
        <v>35</v>
      </c>
      <c r="AN89" s="21">
        <v>2948.0</v>
      </c>
      <c r="AO89" s="21">
        <v>10.0</v>
      </c>
      <c r="AP89" s="20">
        <v>3974.0</v>
      </c>
      <c r="AQ89" s="20">
        <v>1.98</v>
      </c>
    </row>
    <row r="90" ht="22.5" hidden="1" customHeight="1">
      <c r="B90" s="34"/>
      <c r="C90" s="34"/>
      <c r="D90" s="34"/>
      <c r="E90" s="34"/>
      <c r="AJ90" s="20" t="s">
        <v>28</v>
      </c>
      <c r="AK90" s="21">
        <v>1.0</v>
      </c>
      <c r="AL90" s="20" t="s">
        <v>4</v>
      </c>
      <c r="AM90" s="20" t="s">
        <v>35</v>
      </c>
      <c r="AN90" s="21">
        <v>2948.0</v>
      </c>
      <c r="AO90" s="21">
        <v>10.0</v>
      </c>
      <c r="AP90" s="20">
        <v>3974.0</v>
      </c>
      <c r="AQ90" s="20">
        <v>1.99</v>
      </c>
    </row>
    <row r="91" ht="22.5" hidden="1" customHeight="1">
      <c r="AJ91" s="20" t="s">
        <v>28</v>
      </c>
      <c r="AK91" s="21">
        <v>1.0</v>
      </c>
      <c r="AL91" s="20" t="s">
        <v>5</v>
      </c>
      <c r="AM91" s="20" t="s">
        <v>34</v>
      </c>
      <c r="AN91" s="21">
        <v>1412.0</v>
      </c>
      <c r="AO91" s="21">
        <v>20.0</v>
      </c>
      <c r="AP91" s="20">
        <v>24442.0</v>
      </c>
      <c r="AQ91" s="20">
        <v>2.0</v>
      </c>
    </row>
    <row r="92" ht="22.5" hidden="1" customHeight="1">
      <c r="AJ92" s="20" t="s">
        <v>28</v>
      </c>
      <c r="AK92" s="21">
        <v>1.0</v>
      </c>
      <c r="AL92" s="20" t="s">
        <v>5</v>
      </c>
      <c r="AM92" s="20" t="s">
        <v>34</v>
      </c>
      <c r="AN92" s="21">
        <v>2948.0</v>
      </c>
      <c r="AO92" s="21">
        <v>20.0</v>
      </c>
      <c r="AP92" s="20">
        <v>24442.0</v>
      </c>
      <c r="AQ92" s="20">
        <v>2.0</v>
      </c>
    </row>
    <row r="93" ht="22.5" hidden="1" customHeight="1">
      <c r="AJ93" s="20" t="s">
        <v>28</v>
      </c>
      <c r="AK93" s="21">
        <v>1.0</v>
      </c>
      <c r="AL93" s="20" t="s">
        <v>4</v>
      </c>
      <c r="AM93" s="20" t="s">
        <v>35</v>
      </c>
      <c r="AN93" s="21">
        <v>9092.0</v>
      </c>
      <c r="AO93" s="21">
        <v>10.0</v>
      </c>
      <c r="AP93" s="20">
        <v>3974.0</v>
      </c>
      <c r="AQ93" s="20">
        <v>2.01</v>
      </c>
    </row>
    <row r="94" ht="22.5" hidden="1" customHeight="1">
      <c r="AJ94" s="20" t="s">
        <v>28</v>
      </c>
      <c r="AK94" s="21">
        <v>1.0</v>
      </c>
      <c r="AL94" s="20" t="s">
        <v>5</v>
      </c>
      <c r="AM94" s="20" t="s">
        <v>34</v>
      </c>
      <c r="AN94" s="21">
        <v>4996.0</v>
      </c>
      <c r="AO94" s="21">
        <v>20.0</v>
      </c>
      <c r="AP94" s="20">
        <v>24442.0</v>
      </c>
      <c r="AQ94" s="20">
        <v>2.01</v>
      </c>
    </row>
    <row r="95" ht="22.5" hidden="1" customHeight="1">
      <c r="AJ95" s="20" t="s">
        <v>28</v>
      </c>
      <c r="AK95" s="21">
        <v>1.0</v>
      </c>
      <c r="AL95" s="20" t="s">
        <v>3</v>
      </c>
      <c r="AM95" s="20" t="s">
        <v>34</v>
      </c>
      <c r="AN95" s="21">
        <v>1156.0</v>
      </c>
      <c r="AO95" s="21">
        <v>20.0</v>
      </c>
      <c r="AP95" s="20">
        <v>24442.0</v>
      </c>
      <c r="AQ95" s="20">
        <v>2.03</v>
      </c>
    </row>
    <row r="96" ht="22.5" hidden="1" customHeight="1">
      <c r="AJ96" s="20" t="s">
        <v>28</v>
      </c>
      <c r="AK96" s="21">
        <v>1.0</v>
      </c>
      <c r="AL96" s="20" t="s">
        <v>5</v>
      </c>
      <c r="AM96" s="20" t="s">
        <v>34</v>
      </c>
      <c r="AN96" s="21">
        <v>1924.0</v>
      </c>
      <c r="AO96" s="21">
        <v>20.0</v>
      </c>
      <c r="AP96" s="20">
        <v>24442.0</v>
      </c>
      <c r="AQ96" s="20">
        <v>2.04</v>
      </c>
    </row>
    <row r="97" ht="22.5" hidden="1" customHeight="1">
      <c r="AJ97" s="20" t="s">
        <v>28</v>
      </c>
      <c r="AK97" s="21">
        <v>1.0</v>
      </c>
      <c r="AL97" s="20" t="s">
        <v>5</v>
      </c>
      <c r="AM97" s="20" t="s">
        <v>34</v>
      </c>
      <c r="AN97" s="21">
        <v>9092.0</v>
      </c>
      <c r="AO97" s="21">
        <v>20.0</v>
      </c>
      <c r="AP97" s="20">
        <v>24442.0</v>
      </c>
      <c r="AQ97" s="20">
        <v>2.04</v>
      </c>
    </row>
    <row r="98" ht="22.5" hidden="1" customHeight="1">
      <c r="AJ98" s="20" t="s">
        <v>28</v>
      </c>
      <c r="AK98" s="21">
        <v>1.0</v>
      </c>
      <c r="AL98" s="20" t="s">
        <v>5</v>
      </c>
      <c r="AM98" s="20" t="s">
        <v>34</v>
      </c>
      <c r="AN98" s="21">
        <v>131972.0</v>
      </c>
      <c r="AO98" s="21">
        <v>20.0</v>
      </c>
      <c r="AP98" s="20">
        <v>24442.0</v>
      </c>
      <c r="AQ98" s="20">
        <v>2.04</v>
      </c>
    </row>
    <row r="99" ht="22.5" hidden="1" customHeight="1">
      <c r="AJ99" s="20" t="s">
        <v>28</v>
      </c>
      <c r="AK99" s="21">
        <v>1.0</v>
      </c>
      <c r="AL99" s="20" t="s">
        <v>4</v>
      </c>
      <c r="AM99" s="20" t="s">
        <v>35</v>
      </c>
      <c r="AN99" s="21">
        <v>17284.0</v>
      </c>
      <c r="AO99" s="21">
        <v>10.0</v>
      </c>
      <c r="AP99" s="20">
        <v>3974.0</v>
      </c>
      <c r="AQ99" s="20">
        <v>2.05</v>
      </c>
    </row>
    <row r="100" ht="22.5" hidden="1" customHeight="1">
      <c r="AJ100" s="20" t="s">
        <v>28</v>
      </c>
      <c r="AK100" s="21">
        <v>1.0</v>
      </c>
      <c r="AL100" s="20" t="s">
        <v>2</v>
      </c>
      <c r="AM100" s="20" t="s">
        <v>35</v>
      </c>
      <c r="AN100" s="21">
        <v>1412.0</v>
      </c>
      <c r="AO100" s="21">
        <v>10.0</v>
      </c>
      <c r="AP100" s="20">
        <v>3974.0</v>
      </c>
      <c r="AQ100" s="20">
        <v>2.06</v>
      </c>
    </row>
    <row r="101" ht="22.5" hidden="1" customHeight="1">
      <c r="AJ101" s="20" t="s">
        <v>28</v>
      </c>
      <c r="AK101" s="21">
        <v>1.0</v>
      </c>
      <c r="AL101" s="20" t="s">
        <v>4</v>
      </c>
      <c r="AM101" s="20" t="s">
        <v>35</v>
      </c>
      <c r="AN101" s="21">
        <v>1156.0</v>
      </c>
      <c r="AO101" s="21">
        <v>10.0</v>
      </c>
      <c r="AP101" s="20">
        <v>3974.0</v>
      </c>
      <c r="AQ101" s="20">
        <v>2.09</v>
      </c>
    </row>
    <row r="102" ht="22.5" hidden="1" customHeight="1">
      <c r="AJ102" s="20" t="s">
        <v>28</v>
      </c>
      <c r="AK102" s="21">
        <v>1.0</v>
      </c>
      <c r="AL102" s="20" t="s">
        <v>2</v>
      </c>
      <c r="AM102" s="20" t="s">
        <v>35</v>
      </c>
      <c r="AN102" s="21">
        <v>1924.0</v>
      </c>
      <c r="AO102" s="21">
        <v>10.0</v>
      </c>
      <c r="AP102" s="20">
        <v>3974.0</v>
      </c>
      <c r="AQ102" s="20">
        <v>2.1</v>
      </c>
    </row>
    <row r="103" ht="22.5" hidden="1" customHeight="1">
      <c r="AJ103" s="20" t="s">
        <v>28</v>
      </c>
      <c r="AK103" s="21">
        <v>1.0</v>
      </c>
      <c r="AL103" s="20" t="s">
        <v>4</v>
      </c>
      <c r="AM103" s="20" t="s">
        <v>35</v>
      </c>
      <c r="AN103" s="21">
        <v>1412.0</v>
      </c>
      <c r="AO103" s="21">
        <v>10.0</v>
      </c>
      <c r="AP103" s="20">
        <v>3974.0</v>
      </c>
      <c r="AQ103" s="20">
        <v>2.11</v>
      </c>
    </row>
    <row r="104" ht="22.5" hidden="1" customHeight="1">
      <c r="AJ104" s="20" t="s">
        <v>28</v>
      </c>
      <c r="AK104" s="21">
        <v>1.0</v>
      </c>
      <c r="AL104" s="20" t="s">
        <v>4</v>
      </c>
      <c r="AM104" s="20" t="s">
        <v>35</v>
      </c>
      <c r="AN104" s="21">
        <v>1924.0</v>
      </c>
      <c r="AO104" s="21">
        <v>10.0</v>
      </c>
      <c r="AP104" s="20">
        <v>3974.0</v>
      </c>
      <c r="AQ104" s="20">
        <v>2.11</v>
      </c>
    </row>
    <row r="105" ht="22.5" hidden="1" customHeight="1">
      <c r="AJ105" s="20" t="s">
        <v>28</v>
      </c>
      <c r="AK105" s="21">
        <v>1.0</v>
      </c>
      <c r="AL105" s="20" t="s">
        <v>4</v>
      </c>
      <c r="AM105" s="20" t="s">
        <v>35</v>
      </c>
      <c r="AN105" s="21">
        <v>66436.0</v>
      </c>
      <c r="AO105" s="21">
        <v>10.0</v>
      </c>
      <c r="AP105" s="20">
        <v>3974.0</v>
      </c>
      <c r="AQ105" s="20">
        <v>2.16</v>
      </c>
    </row>
    <row r="106" ht="22.5" hidden="1" customHeight="1">
      <c r="AJ106" s="20" t="s">
        <v>28</v>
      </c>
      <c r="AK106" s="21">
        <v>1.0</v>
      </c>
      <c r="AL106" s="20" t="s">
        <v>2</v>
      </c>
      <c r="AM106" s="20" t="s">
        <v>35</v>
      </c>
      <c r="AN106" s="21">
        <v>1156.0</v>
      </c>
      <c r="AO106" s="21">
        <v>10.0</v>
      </c>
      <c r="AP106" s="20">
        <v>3974.0</v>
      </c>
      <c r="AQ106" s="20">
        <v>2.18</v>
      </c>
    </row>
    <row r="107" ht="22.5" hidden="1" customHeight="1">
      <c r="AJ107" s="20" t="s">
        <v>28</v>
      </c>
      <c r="AK107" s="21">
        <v>1.0</v>
      </c>
      <c r="AL107" s="20" t="s">
        <v>4</v>
      </c>
      <c r="AM107" s="20" t="s">
        <v>33</v>
      </c>
      <c r="AN107" s="21">
        <v>1412.0</v>
      </c>
      <c r="AO107" s="21">
        <v>10.0</v>
      </c>
      <c r="AP107" s="20">
        <v>4800.0</v>
      </c>
      <c r="AQ107" s="20">
        <v>2.19</v>
      </c>
    </row>
    <row r="108" ht="22.5" hidden="1" customHeight="1">
      <c r="AJ108" s="20" t="s">
        <v>28</v>
      </c>
      <c r="AK108" s="21">
        <v>1.0</v>
      </c>
      <c r="AL108" s="20" t="s">
        <v>4</v>
      </c>
      <c r="AM108" s="20" t="s">
        <v>35</v>
      </c>
      <c r="AN108" s="21">
        <v>33668.0</v>
      </c>
      <c r="AO108" s="21">
        <v>10.0</v>
      </c>
      <c r="AP108" s="20">
        <v>3974.0</v>
      </c>
      <c r="AQ108" s="20">
        <v>2.23</v>
      </c>
    </row>
    <row r="109" ht="22.5" hidden="1" customHeight="1">
      <c r="AJ109" s="20" t="s">
        <v>28</v>
      </c>
      <c r="AK109" s="21">
        <v>1.0</v>
      </c>
      <c r="AL109" s="20" t="s">
        <v>2</v>
      </c>
      <c r="AM109" s="20" t="s">
        <v>33</v>
      </c>
      <c r="AN109" s="21">
        <v>4996.0</v>
      </c>
      <c r="AO109" s="21">
        <v>10.0</v>
      </c>
      <c r="AP109" s="20">
        <v>4800.0</v>
      </c>
      <c r="AQ109" s="20">
        <v>2.3</v>
      </c>
    </row>
    <row r="110" ht="22.5" hidden="1" customHeight="1">
      <c r="AJ110" s="20" t="s">
        <v>28</v>
      </c>
      <c r="AK110" s="21">
        <v>1.0</v>
      </c>
      <c r="AL110" s="20" t="s">
        <v>2</v>
      </c>
      <c r="AM110" s="20" t="s">
        <v>33</v>
      </c>
      <c r="AN110" s="21">
        <v>1156.0</v>
      </c>
      <c r="AO110" s="21">
        <v>10.0</v>
      </c>
      <c r="AP110" s="20">
        <v>4800.0</v>
      </c>
      <c r="AQ110" s="20">
        <v>2.32</v>
      </c>
    </row>
    <row r="111" ht="22.5" hidden="1" customHeight="1">
      <c r="AJ111" s="20" t="s">
        <v>28</v>
      </c>
      <c r="AK111" s="21">
        <v>1.0</v>
      </c>
      <c r="AL111" s="20" t="s">
        <v>4</v>
      </c>
      <c r="AM111" s="20" t="s">
        <v>33</v>
      </c>
      <c r="AN111" s="21">
        <v>4996.0</v>
      </c>
      <c r="AO111" s="21">
        <v>10.0</v>
      </c>
      <c r="AP111" s="20">
        <v>4800.0</v>
      </c>
      <c r="AQ111" s="20">
        <v>2.38</v>
      </c>
    </row>
    <row r="112" ht="22.5" hidden="1" customHeight="1">
      <c r="AJ112" s="20" t="s">
        <v>28</v>
      </c>
      <c r="AK112" s="21">
        <v>1.0</v>
      </c>
      <c r="AL112" s="20" t="s">
        <v>5</v>
      </c>
      <c r="AM112" s="20" t="s">
        <v>33</v>
      </c>
      <c r="AN112" s="21">
        <v>4996.0</v>
      </c>
      <c r="AO112" s="21">
        <v>20.0</v>
      </c>
      <c r="AP112" s="20">
        <v>4800.0</v>
      </c>
      <c r="AQ112" s="20">
        <v>2.4</v>
      </c>
    </row>
    <row r="113" ht="22.5" hidden="1" customHeight="1">
      <c r="AJ113" s="20" t="s">
        <v>28</v>
      </c>
      <c r="AK113" s="21">
        <v>1.0</v>
      </c>
      <c r="AL113" s="20" t="s">
        <v>2</v>
      </c>
      <c r="AM113" s="20" t="s">
        <v>33</v>
      </c>
      <c r="AN113" s="21">
        <v>1924.0</v>
      </c>
      <c r="AO113" s="21">
        <v>10.0</v>
      </c>
      <c r="AP113" s="20">
        <v>4800.0</v>
      </c>
      <c r="AQ113" s="20">
        <v>2.42</v>
      </c>
    </row>
    <row r="114" ht="22.5" hidden="1" customHeight="1">
      <c r="AJ114" s="20" t="s">
        <v>28</v>
      </c>
      <c r="AK114" s="21">
        <v>1.0</v>
      </c>
      <c r="AL114" s="20" t="s">
        <v>5</v>
      </c>
      <c r="AM114" s="20" t="s">
        <v>33</v>
      </c>
      <c r="AN114" s="21">
        <v>9092.0</v>
      </c>
      <c r="AO114" s="21">
        <v>20.0</v>
      </c>
      <c r="AP114" s="20">
        <v>4800.0</v>
      </c>
      <c r="AQ114" s="20">
        <v>2.46</v>
      </c>
    </row>
    <row r="115" ht="22.5" hidden="1" customHeight="1">
      <c r="AJ115" s="20" t="s">
        <v>28</v>
      </c>
      <c r="AK115" s="21">
        <v>1.0</v>
      </c>
      <c r="AL115" s="20" t="s">
        <v>2</v>
      </c>
      <c r="AM115" s="20" t="s">
        <v>33</v>
      </c>
      <c r="AN115" s="21">
        <v>1412.0</v>
      </c>
      <c r="AO115" s="21">
        <v>10.0</v>
      </c>
      <c r="AP115" s="20">
        <v>4800.0</v>
      </c>
      <c r="AQ115" s="20">
        <v>2.48</v>
      </c>
    </row>
    <row r="116" ht="22.5" hidden="1" customHeight="1">
      <c r="AJ116" s="20" t="s">
        <v>28</v>
      </c>
      <c r="AK116" s="21">
        <v>1.0</v>
      </c>
      <c r="AL116" s="20" t="s">
        <v>5</v>
      </c>
      <c r="AM116" s="20" t="s">
        <v>33</v>
      </c>
      <c r="AN116" s="21">
        <v>17284.0</v>
      </c>
      <c r="AO116" s="21">
        <v>20.0</v>
      </c>
      <c r="AP116" s="20">
        <v>4800.0</v>
      </c>
      <c r="AQ116" s="20">
        <v>2.61</v>
      </c>
    </row>
    <row r="117" ht="22.5" hidden="1" customHeight="1">
      <c r="AJ117" s="20" t="s">
        <v>28</v>
      </c>
      <c r="AK117" s="21">
        <v>1.0</v>
      </c>
      <c r="AL117" s="20" t="s">
        <v>5</v>
      </c>
      <c r="AM117" s="20" t="s">
        <v>33</v>
      </c>
      <c r="AN117" s="21">
        <v>2948.0</v>
      </c>
      <c r="AO117" s="21">
        <v>20.0</v>
      </c>
      <c r="AP117" s="20">
        <v>4800.0</v>
      </c>
      <c r="AQ117" s="20">
        <v>2.65</v>
      </c>
    </row>
    <row r="118" ht="22.5" hidden="1" customHeight="1">
      <c r="AJ118" s="20" t="s">
        <v>28</v>
      </c>
      <c r="AK118" s="21">
        <v>1.0</v>
      </c>
      <c r="AL118" s="20" t="s">
        <v>3</v>
      </c>
      <c r="AM118" s="20" t="s">
        <v>33</v>
      </c>
      <c r="AN118" s="21">
        <v>1156.0</v>
      </c>
      <c r="AO118" s="21">
        <v>20.0</v>
      </c>
      <c r="AP118" s="20">
        <v>4800.0</v>
      </c>
      <c r="AQ118" s="20">
        <v>2.65</v>
      </c>
    </row>
    <row r="119" ht="22.5" hidden="1" customHeight="1">
      <c r="AJ119" s="20" t="s">
        <v>28</v>
      </c>
      <c r="AK119" s="21">
        <v>1.0</v>
      </c>
      <c r="AL119" s="20" t="s">
        <v>4</v>
      </c>
      <c r="AM119" s="20" t="s">
        <v>33</v>
      </c>
      <c r="AN119" s="21">
        <v>2948.0</v>
      </c>
      <c r="AO119" s="21">
        <v>10.0</v>
      </c>
      <c r="AP119" s="20">
        <v>4800.0</v>
      </c>
      <c r="AQ119" s="20">
        <v>2.66</v>
      </c>
    </row>
    <row r="120" ht="22.5" hidden="1" customHeight="1">
      <c r="AJ120" s="20" t="s">
        <v>28</v>
      </c>
      <c r="AK120" s="21">
        <v>1.0</v>
      </c>
      <c r="AL120" s="20" t="s">
        <v>2</v>
      </c>
      <c r="AM120" s="20" t="s">
        <v>32</v>
      </c>
      <c r="AN120" s="21">
        <v>1156.0</v>
      </c>
      <c r="AO120" s="21">
        <v>10.0</v>
      </c>
      <c r="AP120" s="20">
        <v>4480.0</v>
      </c>
      <c r="AQ120" s="20">
        <v>2.69</v>
      </c>
    </row>
    <row r="121" ht="22.5" hidden="1" customHeight="1">
      <c r="AJ121" s="20" t="s">
        <v>28</v>
      </c>
      <c r="AK121" s="21">
        <v>1.0</v>
      </c>
      <c r="AL121" s="20" t="s">
        <v>2</v>
      </c>
      <c r="AM121" s="20" t="s">
        <v>32</v>
      </c>
      <c r="AN121" s="21">
        <v>1412.0</v>
      </c>
      <c r="AO121" s="21">
        <v>10.0</v>
      </c>
      <c r="AP121" s="20">
        <v>4480.0</v>
      </c>
      <c r="AQ121" s="20">
        <v>2.78</v>
      </c>
    </row>
    <row r="122" ht="22.5" hidden="1" customHeight="1">
      <c r="AJ122" s="20" t="s">
        <v>28</v>
      </c>
      <c r="AK122" s="21">
        <v>1.0</v>
      </c>
      <c r="AL122" s="20" t="s">
        <v>4</v>
      </c>
      <c r="AM122" s="20" t="s">
        <v>32</v>
      </c>
      <c r="AN122" s="21">
        <v>17284.0</v>
      </c>
      <c r="AO122" s="21">
        <v>10.0</v>
      </c>
      <c r="AP122" s="20">
        <v>4480.0</v>
      </c>
      <c r="AQ122" s="20">
        <v>2.81</v>
      </c>
    </row>
    <row r="123" ht="22.5" hidden="1" customHeight="1">
      <c r="AJ123" s="20" t="s">
        <v>28</v>
      </c>
      <c r="AK123" s="21">
        <v>1.0</v>
      </c>
      <c r="AL123" s="20" t="s">
        <v>4</v>
      </c>
      <c r="AM123" s="20" t="s">
        <v>35</v>
      </c>
      <c r="AN123" s="21">
        <v>131972.0</v>
      </c>
      <c r="AO123" s="21">
        <v>10.0</v>
      </c>
      <c r="AP123" s="20">
        <v>3974.0</v>
      </c>
      <c r="AQ123" s="20">
        <v>2.82</v>
      </c>
    </row>
    <row r="124" ht="22.5" hidden="1" customHeight="1">
      <c r="AJ124" s="20" t="s">
        <v>28</v>
      </c>
      <c r="AK124" s="21">
        <v>1.0</v>
      </c>
      <c r="AL124" s="20" t="s">
        <v>2</v>
      </c>
      <c r="AM124" s="20" t="s">
        <v>32</v>
      </c>
      <c r="AN124" s="21">
        <v>1924.0</v>
      </c>
      <c r="AO124" s="21">
        <v>10.0</v>
      </c>
      <c r="AP124" s="20">
        <v>4480.0</v>
      </c>
      <c r="AQ124" s="20">
        <v>2.82</v>
      </c>
    </row>
    <row r="125" ht="22.5" hidden="1" customHeight="1">
      <c r="AJ125" s="20" t="s">
        <v>28</v>
      </c>
      <c r="AK125" s="21">
        <v>1.0</v>
      </c>
      <c r="AL125" s="20" t="s">
        <v>4</v>
      </c>
      <c r="AM125" s="20" t="s">
        <v>33</v>
      </c>
      <c r="AN125" s="21">
        <v>33668.0</v>
      </c>
      <c r="AO125" s="21">
        <v>10.0</v>
      </c>
      <c r="AP125" s="20">
        <v>4800.0</v>
      </c>
      <c r="AQ125" s="20">
        <v>2.88</v>
      </c>
    </row>
    <row r="126" ht="22.5" hidden="1" customHeight="1">
      <c r="AJ126" s="20" t="s">
        <v>28</v>
      </c>
      <c r="AK126" s="21">
        <v>1.0</v>
      </c>
      <c r="AL126" s="20" t="s">
        <v>4</v>
      </c>
      <c r="AM126" s="20" t="s">
        <v>33</v>
      </c>
      <c r="AN126" s="21">
        <v>66436.0</v>
      </c>
      <c r="AO126" s="21">
        <v>10.0</v>
      </c>
      <c r="AP126" s="20">
        <v>4800.0</v>
      </c>
      <c r="AQ126" s="20">
        <v>2.92</v>
      </c>
    </row>
    <row r="127" ht="22.5" hidden="1" customHeight="1">
      <c r="AJ127" s="20" t="s">
        <v>28</v>
      </c>
      <c r="AK127" s="21">
        <v>1.0</v>
      </c>
      <c r="AL127" s="20" t="s">
        <v>2</v>
      </c>
      <c r="AM127" s="20" t="s">
        <v>32</v>
      </c>
      <c r="AN127" s="21">
        <v>4996.0</v>
      </c>
      <c r="AO127" s="21">
        <v>10.0</v>
      </c>
      <c r="AP127" s="20">
        <v>4480.0</v>
      </c>
      <c r="AQ127" s="20">
        <v>2.93</v>
      </c>
    </row>
    <row r="128" ht="22.5" hidden="1" customHeight="1">
      <c r="AJ128" s="20" t="s">
        <v>28</v>
      </c>
      <c r="AK128" s="21">
        <v>1.0</v>
      </c>
      <c r="AL128" s="20" t="s">
        <v>5</v>
      </c>
      <c r="AM128" s="20" t="s">
        <v>32</v>
      </c>
      <c r="AN128" s="21">
        <v>9092.0</v>
      </c>
      <c r="AO128" s="21">
        <v>20.0</v>
      </c>
      <c r="AP128" s="20">
        <v>4480.0</v>
      </c>
      <c r="AQ128" s="20">
        <v>2.94</v>
      </c>
    </row>
    <row r="129" ht="22.5" hidden="1" customHeight="1">
      <c r="AJ129" s="20" t="s">
        <v>28</v>
      </c>
      <c r="AK129" s="21">
        <v>1.0</v>
      </c>
      <c r="AL129" s="20" t="s">
        <v>2</v>
      </c>
      <c r="AM129" s="20" t="s">
        <v>32</v>
      </c>
      <c r="AN129" s="21">
        <v>2948.0</v>
      </c>
      <c r="AO129" s="21">
        <v>10.0</v>
      </c>
      <c r="AP129" s="20">
        <v>4480.0</v>
      </c>
      <c r="AQ129" s="20">
        <v>2.97</v>
      </c>
    </row>
    <row r="130" ht="22.5" hidden="1" customHeight="1">
      <c r="AJ130" s="20" t="s">
        <v>28</v>
      </c>
      <c r="AK130" s="21">
        <v>1.0</v>
      </c>
      <c r="AL130" s="20" t="s">
        <v>4</v>
      </c>
      <c r="AM130" s="20" t="s">
        <v>35</v>
      </c>
      <c r="AN130" s="21">
        <v>4996.0</v>
      </c>
      <c r="AO130" s="21">
        <v>10.0</v>
      </c>
      <c r="AP130" s="20">
        <v>3974.0</v>
      </c>
      <c r="AQ130" s="20">
        <v>2.99</v>
      </c>
    </row>
    <row r="131" ht="22.5" hidden="1" customHeight="1">
      <c r="AJ131" s="20" t="s">
        <v>28</v>
      </c>
      <c r="AK131" s="21">
        <v>1.0</v>
      </c>
      <c r="AL131" s="20" t="s">
        <v>5</v>
      </c>
      <c r="AM131" s="20" t="s">
        <v>32</v>
      </c>
      <c r="AN131" s="21">
        <v>1412.0</v>
      </c>
      <c r="AO131" s="21">
        <v>20.0</v>
      </c>
      <c r="AP131" s="20">
        <v>4480.0</v>
      </c>
      <c r="AQ131" s="20">
        <v>2.99</v>
      </c>
    </row>
    <row r="132" ht="22.5" hidden="1" customHeight="1">
      <c r="AJ132" s="20" t="s">
        <v>28</v>
      </c>
      <c r="AK132" s="21">
        <v>1.0</v>
      </c>
      <c r="AL132" s="20" t="s">
        <v>5</v>
      </c>
      <c r="AM132" s="20" t="s">
        <v>32</v>
      </c>
      <c r="AN132" s="21">
        <v>33668.0</v>
      </c>
      <c r="AO132" s="21">
        <v>20.0</v>
      </c>
      <c r="AP132" s="20">
        <v>4480.0</v>
      </c>
      <c r="AQ132" s="20">
        <v>3.01</v>
      </c>
    </row>
    <row r="133" ht="22.5" hidden="1" customHeight="1">
      <c r="AJ133" s="20" t="s">
        <v>28</v>
      </c>
      <c r="AK133" s="21">
        <v>1.0</v>
      </c>
      <c r="AL133" s="20" t="s">
        <v>5</v>
      </c>
      <c r="AM133" s="20" t="s">
        <v>32</v>
      </c>
      <c r="AN133" s="21">
        <v>2948.0</v>
      </c>
      <c r="AO133" s="21">
        <v>20.0</v>
      </c>
      <c r="AP133" s="20">
        <v>4480.0</v>
      </c>
      <c r="AQ133" s="20">
        <v>3.03</v>
      </c>
    </row>
    <row r="134" ht="22.5" hidden="1" customHeight="1">
      <c r="AJ134" s="20" t="s">
        <v>28</v>
      </c>
      <c r="AK134" s="21">
        <v>1.0</v>
      </c>
      <c r="AL134" s="20" t="s">
        <v>5</v>
      </c>
      <c r="AM134" s="20" t="s">
        <v>32</v>
      </c>
      <c r="AN134" s="21">
        <v>1924.0</v>
      </c>
      <c r="AO134" s="21">
        <v>20.0</v>
      </c>
      <c r="AP134" s="20">
        <v>4480.0</v>
      </c>
      <c r="AQ134" s="20">
        <v>3.05</v>
      </c>
    </row>
    <row r="135" ht="22.5" hidden="1" customHeight="1">
      <c r="AJ135" s="20" t="s">
        <v>28</v>
      </c>
      <c r="AK135" s="21">
        <v>1.0</v>
      </c>
      <c r="AL135" s="20" t="s">
        <v>2</v>
      </c>
      <c r="AM135" s="20" t="s">
        <v>33</v>
      </c>
      <c r="AN135" s="21">
        <v>2948.0</v>
      </c>
      <c r="AO135" s="21">
        <v>10.0</v>
      </c>
      <c r="AP135" s="20">
        <v>4800.0</v>
      </c>
      <c r="AQ135" s="20">
        <v>3.05</v>
      </c>
    </row>
    <row r="136" ht="22.5" hidden="1" customHeight="1">
      <c r="AJ136" s="20" t="s">
        <v>28</v>
      </c>
      <c r="AK136" s="21">
        <v>1.0</v>
      </c>
      <c r="AL136" s="20" t="s">
        <v>3</v>
      </c>
      <c r="AM136" s="20" t="s">
        <v>32</v>
      </c>
      <c r="AN136" s="21">
        <v>1412.0</v>
      </c>
      <c r="AO136" s="21">
        <v>20.0</v>
      </c>
      <c r="AP136" s="20">
        <v>4480.0</v>
      </c>
      <c r="AQ136" s="20">
        <v>3.06</v>
      </c>
    </row>
    <row r="137" ht="22.5" hidden="1" customHeight="1">
      <c r="AJ137" s="20" t="s">
        <v>28</v>
      </c>
      <c r="AK137" s="21">
        <v>1.0</v>
      </c>
      <c r="AL137" s="20" t="s">
        <v>2</v>
      </c>
      <c r="AM137" s="20" t="s">
        <v>35</v>
      </c>
      <c r="AN137" s="21">
        <v>4996.0</v>
      </c>
      <c r="AO137" s="21">
        <v>10.0</v>
      </c>
      <c r="AP137" s="20">
        <v>3974.0</v>
      </c>
      <c r="AQ137" s="20">
        <v>3.07</v>
      </c>
    </row>
    <row r="138" ht="22.5" hidden="1" customHeight="1">
      <c r="AJ138" s="20" t="s">
        <v>28</v>
      </c>
      <c r="AK138" s="21">
        <v>1.0</v>
      </c>
      <c r="AL138" s="20" t="s">
        <v>3</v>
      </c>
      <c r="AM138" s="20" t="s">
        <v>32</v>
      </c>
      <c r="AN138" s="21">
        <v>1156.0</v>
      </c>
      <c r="AO138" s="21">
        <v>20.0</v>
      </c>
      <c r="AP138" s="20">
        <v>4480.0</v>
      </c>
      <c r="AQ138" s="20">
        <v>3.07</v>
      </c>
    </row>
    <row r="139" ht="22.5" hidden="1" customHeight="1">
      <c r="AJ139" s="20" t="s">
        <v>28</v>
      </c>
      <c r="AK139" s="21">
        <v>1.0</v>
      </c>
      <c r="AL139" s="20" t="s">
        <v>5</v>
      </c>
      <c r="AM139" s="20" t="s">
        <v>32</v>
      </c>
      <c r="AN139" s="21">
        <v>4996.0</v>
      </c>
      <c r="AO139" s="21">
        <v>20.0</v>
      </c>
      <c r="AP139" s="20">
        <v>4480.0</v>
      </c>
      <c r="AQ139" s="20">
        <v>3.08</v>
      </c>
    </row>
    <row r="140" ht="22.5" hidden="1" customHeight="1">
      <c r="AJ140" s="20" t="s">
        <v>28</v>
      </c>
      <c r="AK140" s="21">
        <v>1.0</v>
      </c>
      <c r="AL140" s="20" t="s">
        <v>5</v>
      </c>
      <c r="AM140" s="20" t="s">
        <v>32</v>
      </c>
      <c r="AN140" s="21">
        <v>1156.0</v>
      </c>
      <c r="AO140" s="21">
        <v>20.0</v>
      </c>
      <c r="AP140" s="20">
        <v>4480.0</v>
      </c>
      <c r="AQ140" s="20">
        <v>3.12</v>
      </c>
    </row>
    <row r="141" ht="22.5" hidden="1" customHeight="1">
      <c r="AJ141" s="20" t="s">
        <v>28</v>
      </c>
      <c r="AK141" s="21">
        <v>1.0</v>
      </c>
      <c r="AL141" s="20" t="s">
        <v>3</v>
      </c>
      <c r="AM141" s="20" t="s">
        <v>32</v>
      </c>
      <c r="AN141" s="21">
        <v>4996.0</v>
      </c>
      <c r="AO141" s="21">
        <v>20.0</v>
      </c>
      <c r="AP141" s="20">
        <v>4480.0</v>
      </c>
      <c r="AQ141" s="20">
        <v>3.12</v>
      </c>
    </row>
    <row r="142" ht="22.5" hidden="1" customHeight="1">
      <c r="AJ142" s="20" t="s">
        <v>28</v>
      </c>
      <c r="AK142" s="21">
        <v>1.0</v>
      </c>
      <c r="AL142" s="20" t="s">
        <v>3</v>
      </c>
      <c r="AM142" s="20" t="s">
        <v>32</v>
      </c>
      <c r="AN142" s="21">
        <v>1924.0</v>
      </c>
      <c r="AO142" s="21">
        <v>20.0</v>
      </c>
      <c r="AP142" s="20">
        <v>4480.0</v>
      </c>
      <c r="AQ142" s="20">
        <v>3.14</v>
      </c>
    </row>
    <row r="143" ht="22.5" hidden="1" customHeight="1">
      <c r="AJ143" s="20" t="s">
        <v>28</v>
      </c>
      <c r="AK143" s="21">
        <v>1.0</v>
      </c>
      <c r="AL143" s="20" t="s">
        <v>4</v>
      </c>
      <c r="AM143" s="20" t="s">
        <v>32</v>
      </c>
      <c r="AN143" s="21">
        <v>66436.0</v>
      </c>
      <c r="AO143" s="21">
        <v>10.0</v>
      </c>
      <c r="AP143" s="20">
        <v>4480.0</v>
      </c>
      <c r="AQ143" s="20">
        <v>3.19</v>
      </c>
    </row>
    <row r="144" ht="22.5" hidden="1" customHeight="1">
      <c r="AJ144" s="20" t="s">
        <v>28</v>
      </c>
      <c r="AK144" s="21">
        <v>1.0</v>
      </c>
      <c r="AL144" s="20" t="s">
        <v>5</v>
      </c>
      <c r="AM144" s="20" t="s">
        <v>32</v>
      </c>
      <c r="AN144" s="21">
        <v>17284.0</v>
      </c>
      <c r="AO144" s="21">
        <v>20.0</v>
      </c>
      <c r="AP144" s="20">
        <v>4480.0</v>
      </c>
      <c r="AQ144" s="20">
        <v>3.19</v>
      </c>
    </row>
    <row r="145" ht="22.5" hidden="1" customHeight="1">
      <c r="AJ145" s="20" t="s">
        <v>28</v>
      </c>
      <c r="AK145" s="21">
        <v>1.0</v>
      </c>
      <c r="AL145" s="20" t="s">
        <v>5</v>
      </c>
      <c r="AM145" s="20" t="s">
        <v>32</v>
      </c>
      <c r="AN145" s="21">
        <v>131972.0</v>
      </c>
      <c r="AO145" s="21">
        <v>20.0</v>
      </c>
      <c r="AP145" s="20">
        <v>4480.0</v>
      </c>
      <c r="AQ145" s="20">
        <v>3.27</v>
      </c>
    </row>
    <row r="146" ht="22.5" hidden="1" customHeight="1">
      <c r="AJ146" s="20" t="s">
        <v>28</v>
      </c>
      <c r="AK146" s="21">
        <v>1.0</v>
      </c>
      <c r="AL146" s="20" t="s">
        <v>4</v>
      </c>
      <c r="AM146" s="20" t="s">
        <v>33</v>
      </c>
      <c r="AN146" s="21">
        <v>1156.0</v>
      </c>
      <c r="AO146" s="21">
        <v>10.0</v>
      </c>
      <c r="AP146" s="20">
        <v>4800.0</v>
      </c>
      <c r="AQ146" s="20">
        <v>3.29</v>
      </c>
    </row>
    <row r="147" ht="22.5" hidden="1" customHeight="1">
      <c r="AJ147" s="20" t="s">
        <v>28</v>
      </c>
      <c r="AK147" s="21">
        <v>1.0</v>
      </c>
      <c r="AL147" s="20" t="s">
        <v>4</v>
      </c>
      <c r="AM147" s="20" t="s">
        <v>33</v>
      </c>
      <c r="AN147" s="21">
        <v>9092.0</v>
      </c>
      <c r="AO147" s="21">
        <v>10.0</v>
      </c>
      <c r="AP147" s="20">
        <v>4800.0</v>
      </c>
      <c r="AQ147" s="20">
        <v>3.31</v>
      </c>
    </row>
    <row r="148" ht="22.5" hidden="1" customHeight="1">
      <c r="AJ148" s="20" t="s">
        <v>28</v>
      </c>
      <c r="AK148" s="21">
        <v>1.0</v>
      </c>
      <c r="AL148" s="20" t="s">
        <v>3</v>
      </c>
      <c r="AM148" s="20" t="s">
        <v>32</v>
      </c>
      <c r="AN148" s="21">
        <v>2948.0</v>
      </c>
      <c r="AO148" s="21">
        <v>20.0</v>
      </c>
      <c r="AP148" s="20">
        <v>4480.0</v>
      </c>
      <c r="AQ148" s="20">
        <v>3.32</v>
      </c>
    </row>
    <row r="149" ht="22.5" hidden="1" customHeight="1">
      <c r="AJ149" s="20" t="s">
        <v>28</v>
      </c>
      <c r="AK149" s="21">
        <v>1.0</v>
      </c>
      <c r="AL149" s="20" t="s">
        <v>4</v>
      </c>
      <c r="AM149" s="20" t="s">
        <v>33</v>
      </c>
      <c r="AN149" s="21">
        <v>1924.0</v>
      </c>
      <c r="AO149" s="21">
        <v>10.0</v>
      </c>
      <c r="AP149" s="20">
        <v>4800.0</v>
      </c>
      <c r="AQ149" s="20">
        <v>3.4</v>
      </c>
    </row>
    <row r="150" ht="22.5" hidden="1" customHeight="1">
      <c r="AJ150" s="20" t="s">
        <v>28</v>
      </c>
      <c r="AK150" s="21">
        <v>1.0</v>
      </c>
      <c r="AL150" s="20" t="s">
        <v>5</v>
      </c>
      <c r="AM150" s="20" t="s">
        <v>33</v>
      </c>
      <c r="AN150" s="21">
        <v>33668.0</v>
      </c>
      <c r="AO150" s="21">
        <v>20.0</v>
      </c>
      <c r="AP150" s="20">
        <v>4800.0</v>
      </c>
      <c r="AQ150" s="20">
        <v>3.4</v>
      </c>
    </row>
    <row r="151" ht="22.5" hidden="1" customHeight="1">
      <c r="AJ151" s="20" t="s">
        <v>28</v>
      </c>
      <c r="AK151" s="21">
        <v>1.0</v>
      </c>
      <c r="AL151" s="20" t="s">
        <v>5</v>
      </c>
      <c r="AM151" s="20" t="s">
        <v>35</v>
      </c>
      <c r="AN151" s="21">
        <v>4996.0</v>
      </c>
      <c r="AO151" s="21">
        <v>20.0</v>
      </c>
      <c r="AP151" s="20">
        <v>3974.0</v>
      </c>
      <c r="AQ151" s="20">
        <v>3.43</v>
      </c>
    </row>
    <row r="152" ht="22.5" hidden="1" customHeight="1">
      <c r="AJ152" s="20" t="s">
        <v>28</v>
      </c>
      <c r="AK152" s="21">
        <v>1.0</v>
      </c>
      <c r="AL152" s="20" t="s">
        <v>5</v>
      </c>
      <c r="AM152" s="20" t="s">
        <v>35</v>
      </c>
      <c r="AN152" s="21">
        <v>9092.0</v>
      </c>
      <c r="AO152" s="21">
        <v>20.0</v>
      </c>
      <c r="AP152" s="20">
        <v>3974.0</v>
      </c>
      <c r="AQ152" s="20">
        <v>3.45</v>
      </c>
    </row>
    <row r="153" ht="22.5" hidden="1" customHeight="1">
      <c r="AJ153" s="20" t="s">
        <v>28</v>
      </c>
      <c r="AK153" s="21">
        <v>1.0</v>
      </c>
      <c r="AL153" s="20" t="s">
        <v>3</v>
      </c>
      <c r="AM153" s="20" t="s">
        <v>33</v>
      </c>
      <c r="AN153" s="21">
        <v>1412.0</v>
      </c>
      <c r="AO153" s="21">
        <v>20.0</v>
      </c>
      <c r="AP153" s="20">
        <v>4800.0</v>
      </c>
      <c r="AQ153" s="20">
        <v>3.45</v>
      </c>
    </row>
    <row r="154" ht="22.5" hidden="1" customHeight="1">
      <c r="AJ154" s="20" t="s">
        <v>28</v>
      </c>
      <c r="AK154" s="21">
        <v>1.0</v>
      </c>
      <c r="AL154" s="20" t="s">
        <v>5</v>
      </c>
      <c r="AM154" s="20" t="s">
        <v>35</v>
      </c>
      <c r="AN154" s="21">
        <v>131972.0</v>
      </c>
      <c r="AO154" s="21">
        <v>20.0</v>
      </c>
      <c r="AP154" s="20">
        <v>3974.0</v>
      </c>
      <c r="AQ154" s="20">
        <v>3.46</v>
      </c>
    </row>
    <row r="155" ht="22.5" hidden="1" customHeight="1">
      <c r="AJ155" s="20" t="s">
        <v>28</v>
      </c>
      <c r="AK155" s="21">
        <v>1.0</v>
      </c>
      <c r="AL155" s="20" t="s">
        <v>5</v>
      </c>
      <c r="AM155" s="20" t="s">
        <v>35</v>
      </c>
      <c r="AN155" s="21">
        <v>2948.0</v>
      </c>
      <c r="AO155" s="21">
        <v>20.0</v>
      </c>
      <c r="AP155" s="20">
        <v>3974.0</v>
      </c>
      <c r="AQ155" s="20">
        <v>3.47</v>
      </c>
    </row>
    <row r="156" ht="22.5" hidden="1" customHeight="1">
      <c r="AJ156" s="20" t="s">
        <v>28</v>
      </c>
      <c r="AK156" s="21">
        <v>1.0</v>
      </c>
      <c r="AL156" s="20" t="s">
        <v>3</v>
      </c>
      <c r="AM156" s="20" t="s">
        <v>33</v>
      </c>
      <c r="AN156" s="21">
        <v>4996.0</v>
      </c>
      <c r="AO156" s="21">
        <v>20.0</v>
      </c>
      <c r="AP156" s="20">
        <v>4800.0</v>
      </c>
      <c r="AQ156" s="20">
        <v>3.47</v>
      </c>
    </row>
    <row r="157" ht="22.5" hidden="1" customHeight="1">
      <c r="AJ157" s="20" t="s">
        <v>28</v>
      </c>
      <c r="AK157" s="21">
        <v>1.0</v>
      </c>
      <c r="AL157" s="20" t="s">
        <v>5</v>
      </c>
      <c r="AM157" s="20" t="s">
        <v>35</v>
      </c>
      <c r="AN157" s="21">
        <v>33668.0</v>
      </c>
      <c r="AO157" s="21">
        <v>20.0</v>
      </c>
      <c r="AP157" s="20">
        <v>3974.0</v>
      </c>
      <c r="AQ157" s="20">
        <v>3.48</v>
      </c>
    </row>
    <row r="158" ht="22.5" hidden="1" customHeight="1">
      <c r="AJ158" s="20" t="s">
        <v>28</v>
      </c>
      <c r="AK158" s="21">
        <v>1.0</v>
      </c>
      <c r="AL158" s="20" t="s">
        <v>3</v>
      </c>
      <c r="AM158" s="20" t="s">
        <v>35</v>
      </c>
      <c r="AN158" s="21">
        <v>1412.0</v>
      </c>
      <c r="AO158" s="21">
        <v>20.0</v>
      </c>
      <c r="AP158" s="20">
        <v>3974.0</v>
      </c>
      <c r="AQ158" s="20">
        <v>3.48</v>
      </c>
    </row>
    <row r="159" ht="22.5" hidden="1" customHeight="1">
      <c r="AJ159" s="20" t="s">
        <v>28</v>
      </c>
      <c r="AK159" s="21">
        <v>1.0</v>
      </c>
      <c r="AL159" s="20" t="s">
        <v>3</v>
      </c>
      <c r="AM159" s="20" t="s">
        <v>35</v>
      </c>
      <c r="AN159" s="21">
        <v>1924.0</v>
      </c>
      <c r="AO159" s="21">
        <v>20.0</v>
      </c>
      <c r="AP159" s="20">
        <v>3974.0</v>
      </c>
      <c r="AQ159" s="20">
        <v>3.5</v>
      </c>
    </row>
    <row r="160" ht="22.5" hidden="1" customHeight="1">
      <c r="AJ160" s="20" t="s">
        <v>28</v>
      </c>
      <c r="AK160" s="21">
        <v>1.0</v>
      </c>
      <c r="AL160" s="20" t="s">
        <v>3</v>
      </c>
      <c r="AM160" s="20" t="s">
        <v>35</v>
      </c>
      <c r="AN160" s="21">
        <v>4996.0</v>
      </c>
      <c r="AO160" s="21">
        <v>20.0</v>
      </c>
      <c r="AP160" s="20">
        <v>3974.0</v>
      </c>
      <c r="AQ160" s="20">
        <v>3.54</v>
      </c>
    </row>
    <row r="161" ht="22.5" hidden="1" customHeight="1">
      <c r="AJ161" s="20" t="s">
        <v>28</v>
      </c>
      <c r="AK161" s="21">
        <v>1.0</v>
      </c>
      <c r="AL161" s="20" t="s">
        <v>5</v>
      </c>
      <c r="AM161" s="20" t="s">
        <v>35</v>
      </c>
      <c r="AN161" s="21">
        <v>1412.0</v>
      </c>
      <c r="AO161" s="21">
        <v>20.0</v>
      </c>
      <c r="AP161" s="20">
        <v>3974.0</v>
      </c>
      <c r="AQ161" s="20">
        <v>3.58</v>
      </c>
    </row>
    <row r="162" ht="22.5" hidden="1" customHeight="1">
      <c r="AJ162" s="20" t="s">
        <v>28</v>
      </c>
      <c r="AK162" s="21">
        <v>1.0</v>
      </c>
      <c r="AL162" s="20" t="s">
        <v>5</v>
      </c>
      <c r="AM162" s="20" t="s">
        <v>35</v>
      </c>
      <c r="AN162" s="21">
        <v>1156.0</v>
      </c>
      <c r="AO162" s="21">
        <v>20.0</v>
      </c>
      <c r="AP162" s="20">
        <v>3974.0</v>
      </c>
      <c r="AQ162" s="20">
        <v>3.62</v>
      </c>
    </row>
    <row r="163" ht="22.5" hidden="1" customHeight="1">
      <c r="AJ163" s="20" t="s">
        <v>28</v>
      </c>
      <c r="AK163" s="21">
        <v>1.0</v>
      </c>
      <c r="AL163" s="20" t="s">
        <v>4</v>
      </c>
      <c r="AM163" s="20" t="s">
        <v>32</v>
      </c>
      <c r="AN163" s="21">
        <v>1924.0</v>
      </c>
      <c r="AO163" s="21">
        <v>10.0</v>
      </c>
      <c r="AP163" s="20">
        <v>4480.0</v>
      </c>
      <c r="AQ163" s="20">
        <v>3.64</v>
      </c>
    </row>
    <row r="164" ht="22.5" hidden="1" customHeight="1">
      <c r="AJ164" s="20" t="s">
        <v>28</v>
      </c>
      <c r="AK164" s="21">
        <v>1.0</v>
      </c>
      <c r="AL164" s="20" t="s">
        <v>5</v>
      </c>
      <c r="AM164" s="20" t="s">
        <v>35</v>
      </c>
      <c r="AN164" s="21">
        <v>66436.0</v>
      </c>
      <c r="AO164" s="21">
        <v>20.0</v>
      </c>
      <c r="AP164" s="20">
        <v>3974.0</v>
      </c>
      <c r="AQ164" s="20">
        <v>3.64</v>
      </c>
    </row>
    <row r="165" ht="22.5" hidden="1" customHeight="1">
      <c r="AJ165" s="20" t="s">
        <v>28</v>
      </c>
      <c r="AK165" s="21">
        <v>1.0</v>
      </c>
      <c r="AL165" s="20" t="s">
        <v>4</v>
      </c>
      <c r="AM165" s="20" t="s">
        <v>31</v>
      </c>
      <c r="AN165" s="21">
        <v>66436.0</v>
      </c>
      <c r="AO165" s="21">
        <v>10.0</v>
      </c>
      <c r="AP165" s="20">
        <v>1610.0</v>
      </c>
      <c r="AQ165" s="20">
        <v>3.73</v>
      </c>
    </row>
    <row r="166" ht="22.5" hidden="1" customHeight="1">
      <c r="AJ166" s="20" t="s">
        <v>28</v>
      </c>
      <c r="AK166" s="21">
        <v>1.0</v>
      </c>
      <c r="AL166" s="20" t="s">
        <v>5</v>
      </c>
      <c r="AM166" s="20" t="s">
        <v>33</v>
      </c>
      <c r="AN166" s="21">
        <v>1924.0</v>
      </c>
      <c r="AO166" s="21">
        <v>20.0</v>
      </c>
      <c r="AP166" s="20">
        <v>4800.0</v>
      </c>
      <c r="AQ166" s="20">
        <v>3.78</v>
      </c>
    </row>
    <row r="167" ht="22.5" hidden="1" customHeight="1">
      <c r="AJ167" s="20" t="s">
        <v>28</v>
      </c>
      <c r="AK167" s="21">
        <v>1.0</v>
      </c>
      <c r="AL167" s="20" t="s">
        <v>4</v>
      </c>
      <c r="AM167" s="20" t="s">
        <v>31</v>
      </c>
      <c r="AN167" s="21">
        <v>131972.0</v>
      </c>
      <c r="AO167" s="21">
        <v>10.0</v>
      </c>
      <c r="AP167" s="20">
        <v>1610.0</v>
      </c>
      <c r="AQ167" s="20">
        <v>3.81</v>
      </c>
    </row>
    <row r="168" ht="22.5" hidden="1" customHeight="1">
      <c r="AJ168" s="20" t="s">
        <v>28</v>
      </c>
      <c r="AK168" s="21">
        <v>1.0</v>
      </c>
      <c r="AL168" s="20" t="s">
        <v>5</v>
      </c>
      <c r="AM168" s="20" t="s">
        <v>32</v>
      </c>
      <c r="AN168" s="21">
        <v>66436.0</v>
      </c>
      <c r="AO168" s="21">
        <v>20.0</v>
      </c>
      <c r="AP168" s="20">
        <v>4480.0</v>
      </c>
      <c r="AQ168" s="20">
        <v>3.81</v>
      </c>
    </row>
    <row r="169" ht="22.5" hidden="1" customHeight="1">
      <c r="AJ169" s="20" t="s">
        <v>28</v>
      </c>
      <c r="AK169" s="21">
        <v>1.0</v>
      </c>
      <c r="AL169" s="20" t="s">
        <v>5</v>
      </c>
      <c r="AM169" s="20" t="s">
        <v>33</v>
      </c>
      <c r="AN169" s="21">
        <v>1156.0</v>
      </c>
      <c r="AO169" s="21">
        <v>20.0</v>
      </c>
      <c r="AP169" s="20">
        <v>4800.0</v>
      </c>
      <c r="AQ169" s="20">
        <v>3.84</v>
      </c>
    </row>
    <row r="170" ht="22.5" hidden="1" customHeight="1">
      <c r="AJ170" s="20" t="s">
        <v>28</v>
      </c>
      <c r="AK170" s="21">
        <v>1.0</v>
      </c>
      <c r="AL170" s="20" t="s">
        <v>4</v>
      </c>
      <c r="AM170" s="20" t="s">
        <v>32</v>
      </c>
      <c r="AN170" s="21">
        <v>131972.0</v>
      </c>
      <c r="AO170" s="21">
        <v>10.0</v>
      </c>
      <c r="AP170" s="20">
        <v>4480.0</v>
      </c>
      <c r="AQ170" s="20">
        <v>3.85</v>
      </c>
    </row>
    <row r="171" ht="22.5" hidden="1" customHeight="1">
      <c r="AJ171" s="20" t="s">
        <v>28</v>
      </c>
      <c r="AK171" s="21">
        <v>1.0</v>
      </c>
      <c r="AL171" s="20" t="s">
        <v>4</v>
      </c>
      <c r="AM171" s="20" t="s">
        <v>32</v>
      </c>
      <c r="AN171" s="21">
        <v>9092.0</v>
      </c>
      <c r="AO171" s="21">
        <v>10.0</v>
      </c>
      <c r="AP171" s="20">
        <v>4480.0</v>
      </c>
      <c r="AQ171" s="20">
        <v>3.87</v>
      </c>
    </row>
    <row r="172" ht="22.5" hidden="1" customHeight="1">
      <c r="AJ172" s="20" t="s">
        <v>28</v>
      </c>
      <c r="AK172" s="21">
        <v>1.0</v>
      </c>
      <c r="AL172" s="20" t="s">
        <v>4</v>
      </c>
      <c r="AM172" s="20" t="s">
        <v>31</v>
      </c>
      <c r="AN172" s="21">
        <v>2948.0</v>
      </c>
      <c r="AO172" s="21">
        <v>10.0</v>
      </c>
      <c r="AP172" s="20">
        <v>1610.0</v>
      </c>
      <c r="AQ172" s="20">
        <v>3.89</v>
      </c>
    </row>
    <row r="173" ht="22.5" hidden="1" customHeight="1">
      <c r="AJ173" s="20" t="s">
        <v>28</v>
      </c>
      <c r="AK173" s="21">
        <v>1.0</v>
      </c>
      <c r="AL173" s="20" t="s">
        <v>4</v>
      </c>
      <c r="AM173" s="20" t="s">
        <v>33</v>
      </c>
      <c r="AN173" s="21">
        <v>17284.0</v>
      </c>
      <c r="AO173" s="21">
        <v>10.0</v>
      </c>
      <c r="AP173" s="20">
        <v>4800.0</v>
      </c>
      <c r="AQ173" s="20">
        <v>3.9</v>
      </c>
    </row>
    <row r="174" ht="22.5" hidden="1" customHeight="1">
      <c r="AJ174" s="20" t="s">
        <v>28</v>
      </c>
      <c r="AK174" s="21">
        <v>1.0</v>
      </c>
      <c r="AL174" s="20" t="s">
        <v>5</v>
      </c>
      <c r="AM174" s="20" t="s">
        <v>33</v>
      </c>
      <c r="AN174" s="21">
        <v>1412.0</v>
      </c>
      <c r="AO174" s="21">
        <v>20.0</v>
      </c>
      <c r="AP174" s="20">
        <v>4800.0</v>
      </c>
      <c r="AQ174" s="20">
        <v>3.9</v>
      </c>
    </row>
    <row r="175" ht="22.5" hidden="1" customHeight="1">
      <c r="AJ175" s="20" t="s">
        <v>28</v>
      </c>
      <c r="AK175" s="21">
        <v>1.0</v>
      </c>
      <c r="AL175" s="20" t="s">
        <v>4</v>
      </c>
      <c r="AM175" s="20" t="s">
        <v>32</v>
      </c>
      <c r="AN175" s="21">
        <v>4996.0</v>
      </c>
      <c r="AO175" s="21">
        <v>10.0</v>
      </c>
      <c r="AP175" s="20">
        <v>4480.0</v>
      </c>
      <c r="AQ175" s="20">
        <v>3.93</v>
      </c>
    </row>
    <row r="176" ht="22.5" hidden="1" customHeight="1">
      <c r="AJ176" s="20" t="s">
        <v>28</v>
      </c>
      <c r="AK176" s="21">
        <v>1.0</v>
      </c>
      <c r="AL176" s="20" t="s">
        <v>3</v>
      </c>
      <c r="AM176" s="20" t="s">
        <v>33</v>
      </c>
      <c r="AN176" s="21">
        <v>1924.0</v>
      </c>
      <c r="AO176" s="21">
        <v>20.0</v>
      </c>
      <c r="AP176" s="20">
        <v>4800.0</v>
      </c>
      <c r="AQ176" s="20">
        <v>3.93</v>
      </c>
    </row>
    <row r="177" ht="22.5" hidden="1" customHeight="1">
      <c r="AJ177" s="20" t="s">
        <v>28</v>
      </c>
      <c r="AK177" s="21">
        <v>1.0</v>
      </c>
      <c r="AL177" s="20" t="s">
        <v>4</v>
      </c>
      <c r="AM177" s="20" t="s">
        <v>33</v>
      </c>
      <c r="AN177" s="21">
        <v>131972.0</v>
      </c>
      <c r="AO177" s="21">
        <v>10.0</v>
      </c>
      <c r="AP177" s="20">
        <v>4800.0</v>
      </c>
      <c r="AQ177" s="20">
        <v>3.95</v>
      </c>
    </row>
    <row r="178" ht="22.5" hidden="1" customHeight="1">
      <c r="AJ178" s="20" t="s">
        <v>28</v>
      </c>
      <c r="AK178" s="21">
        <v>1.0</v>
      </c>
      <c r="AL178" s="20" t="s">
        <v>3</v>
      </c>
      <c r="AM178" s="20" t="s">
        <v>33</v>
      </c>
      <c r="AN178" s="21">
        <v>2948.0</v>
      </c>
      <c r="AO178" s="21">
        <v>20.0</v>
      </c>
      <c r="AP178" s="20">
        <v>4800.0</v>
      </c>
      <c r="AQ178" s="20">
        <v>3.96</v>
      </c>
    </row>
    <row r="179" ht="22.5" hidden="1" customHeight="1">
      <c r="AJ179" s="20" t="s">
        <v>28</v>
      </c>
      <c r="AK179" s="21">
        <v>1.0</v>
      </c>
      <c r="AL179" s="20" t="s">
        <v>2</v>
      </c>
      <c r="AM179" s="20" t="s">
        <v>31</v>
      </c>
      <c r="AN179" s="21">
        <v>4996.0</v>
      </c>
      <c r="AO179" s="21">
        <v>10.0</v>
      </c>
      <c r="AP179" s="20">
        <v>1610.0</v>
      </c>
      <c r="AQ179" s="20">
        <v>3.98</v>
      </c>
    </row>
    <row r="180" ht="22.5" hidden="1" customHeight="1">
      <c r="AJ180" s="20" t="s">
        <v>28</v>
      </c>
      <c r="AK180" s="21">
        <v>1.0</v>
      </c>
      <c r="AL180" s="20" t="s">
        <v>4</v>
      </c>
      <c r="AM180" s="20" t="s">
        <v>31</v>
      </c>
      <c r="AN180" s="21">
        <v>17284.0</v>
      </c>
      <c r="AO180" s="21">
        <v>10.0</v>
      </c>
      <c r="AP180" s="20">
        <v>1610.0</v>
      </c>
      <c r="AQ180" s="20">
        <v>3.99</v>
      </c>
    </row>
    <row r="181" ht="22.5" hidden="1" customHeight="1">
      <c r="AJ181" s="20" t="s">
        <v>28</v>
      </c>
      <c r="AK181" s="21">
        <v>1.0</v>
      </c>
      <c r="AL181" s="20" t="s">
        <v>2</v>
      </c>
      <c r="AM181" s="20" t="s">
        <v>31</v>
      </c>
      <c r="AN181" s="21">
        <v>2948.0</v>
      </c>
      <c r="AO181" s="21">
        <v>10.0</v>
      </c>
      <c r="AP181" s="20">
        <v>1610.0</v>
      </c>
      <c r="AQ181" s="20">
        <v>4.01</v>
      </c>
    </row>
    <row r="182" ht="22.5" hidden="1" customHeight="1">
      <c r="AJ182" s="20" t="s">
        <v>28</v>
      </c>
      <c r="AK182" s="21">
        <v>1.0</v>
      </c>
      <c r="AL182" s="20" t="s">
        <v>3</v>
      </c>
      <c r="AM182" s="20" t="s">
        <v>31</v>
      </c>
      <c r="AN182" s="21">
        <v>4996.0</v>
      </c>
      <c r="AO182" s="21">
        <v>20.0</v>
      </c>
      <c r="AP182" s="20">
        <v>1610.0</v>
      </c>
      <c r="AQ182" s="20">
        <v>4.02</v>
      </c>
    </row>
    <row r="183" ht="22.5" hidden="1" customHeight="1">
      <c r="AJ183" s="20" t="s">
        <v>28</v>
      </c>
      <c r="AK183" s="21">
        <v>1.0</v>
      </c>
      <c r="AL183" s="20" t="s">
        <v>5</v>
      </c>
      <c r="AM183" s="20" t="s">
        <v>31</v>
      </c>
      <c r="AN183" s="21">
        <v>9092.0</v>
      </c>
      <c r="AO183" s="21">
        <v>20.0</v>
      </c>
      <c r="AP183" s="20">
        <v>1610.0</v>
      </c>
      <c r="AQ183" s="20">
        <v>4.05</v>
      </c>
    </row>
    <row r="184" ht="22.5" hidden="1" customHeight="1">
      <c r="AJ184" s="20" t="s">
        <v>28</v>
      </c>
      <c r="AK184" s="21">
        <v>1.0</v>
      </c>
      <c r="AL184" s="20" t="s">
        <v>4</v>
      </c>
      <c r="AM184" s="20" t="s">
        <v>32</v>
      </c>
      <c r="AN184" s="21">
        <v>1156.0</v>
      </c>
      <c r="AO184" s="21">
        <v>10.0</v>
      </c>
      <c r="AP184" s="20">
        <v>4480.0</v>
      </c>
      <c r="AQ184" s="20">
        <v>4.06</v>
      </c>
    </row>
    <row r="185" ht="22.5" hidden="1" customHeight="1">
      <c r="AJ185" s="20" t="s">
        <v>28</v>
      </c>
      <c r="AK185" s="21">
        <v>1.0</v>
      </c>
      <c r="AL185" s="20" t="s">
        <v>4</v>
      </c>
      <c r="AM185" s="20" t="s">
        <v>32</v>
      </c>
      <c r="AN185" s="21">
        <v>2948.0</v>
      </c>
      <c r="AO185" s="21">
        <v>10.0</v>
      </c>
      <c r="AP185" s="20">
        <v>4480.0</v>
      </c>
      <c r="AQ185" s="20">
        <v>4.07</v>
      </c>
    </row>
    <row r="186" ht="22.5" hidden="1" customHeight="1">
      <c r="AJ186" s="20" t="s">
        <v>28</v>
      </c>
      <c r="AK186" s="21">
        <v>1.0</v>
      </c>
      <c r="AL186" s="20" t="s">
        <v>3</v>
      </c>
      <c r="AM186" s="20" t="s">
        <v>31</v>
      </c>
      <c r="AN186" s="21">
        <v>1156.0</v>
      </c>
      <c r="AO186" s="21">
        <v>20.0</v>
      </c>
      <c r="AP186" s="20">
        <v>1610.0</v>
      </c>
      <c r="AQ186" s="20">
        <v>4.07</v>
      </c>
    </row>
    <row r="187" ht="22.5" hidden="1" customHeight="1">
      <c r="AJ187" s="20" t="s">
        <v>28</v>
      </c>
      <c r="AK187" s="21">
        <v>1.0</v>
      </c>
      <c r="AL187" s="20" t="s">
        <v>4</v>
      </c>
      <c r="AM187" s="20" t="s">
        <v>31</v>
      </c>
      <c r="AN187" s="21">
        <v>9092.0</v>
      </c>
      <c r="AO187" s="21">
        <v>10.0</v>
      </c>
      <c r="AP187" s="20">
        <v>1610.0</v>
      </c>
      <c r="AQ187" s="20">
        <v>4.11</v>
      </c>
    </row>
    <row r="188" ht="22.5" hidden="1" customHeight="1">
      <c r="AJ188" s="20" t="s">
        <v>28</v>
      </c>
      <c r="AK188" s="21">
        <v>1.0</v>
      </c>
      <c r="AL188" s="20" t="s">
        <v>5</v>
      </c>
      <c r="AM188" s="20" t="s">
        <v>31</v>
      </c>
      <c r="AN188" s="21">
        <v>66436.0</v>
      </c>
      <c r="AO188" s="21">
        <v>20.0</v>
      </c>
      <c r="AP188" s="20">
        <v>1610.0</v>
      </c>
      <c r="AQ188" s="20">
        <v>4.14</v>
      </c>
    </row>
    <row r="189" ht="22.5" hidden="1" customHeight="1">
      <c r="AJ189" s="20" t="s">
        <v>28</v>
      </c>
      <c r="AK189" s="21">
        <v>1.0</v>
      </c>
      <c r="AL189" s="20" t="s">
        <v>5</v>
      </c>
      <c r="AM189" s="20" t="s">
        <v>31</v>
      </c>
      <c r="AN189" s="21">
        <v>131972.0</v>
      </c>
      <c r="AO189" s="21">
        <v>20.0</v>
      </c>
      <c r="AP189" s="20">
        <v>1610.0</v>
      </c>
      <c r="AQ189" s="20">
        <v>4.14</v>
      </c>
    </row>
    <row r="190" ht="22.5" hidden="1" customHeight="1">
      <c r="AJ190" s="20" t="s">
        <v>28</v>
      </c>
      <c r="AK190" s="21">
        <v>1.0</v>
      </c>
      <c r="AL190" s="20" t="s">
        <v>3</v>
      </c>
      <c r="AM190" s="20" t="s">
        <v>35</v>
      </c>
      <c r="AN190" s="21">
        <v>1156.0</v>
      </c>
      <c r="AO190" s="21">
        <v>20.0</v>
      </c>
      <c r="AP190" s="20">
        <v>3974.0</v>
      </c>
      <c r="AQ190" s="20">
        <v>4.16</v>
      </c>
    </row>
    <row r="191" ht="22.5" hidden="1" customHeight="1">
      <c r="AJ191" s="20" t="s">
        <v>28</v>
      </c>
      <c r="AK191" s="21">
        <v>1.0</v>
      </c>
      <c r="AL191" s="20" t="s">
        <v>2</v>
      </c>
      <c r="AM191" s="20" t="s">
        <v>31</v>
      </c>
      <c r="AN191" s="21">
        <v>1924.0</v>
      </c>
      <c r="AO191" s="21">
        <v>10.0</v>
      </c>
      <c r="AP191" s="20">
        <v>1610.0</v>
      </c>
      <c r="AQ191" s="20">
        <v>4.18</v>
      </c>
    </row>
    <row r="192" ht="22.5" hidden="1" customHeight="1">
      <c r="AJ192" s="20" t="s">
        <v>28</v>
      </c>
      <c r="AK192" s="21">
        <v>1.0</v>
      </c>
      <c r="AL192" s="20" t="s">
        <v>4</v>
      </c>
      <c r="AM192" s="20" t="s">
        <v>31</v>
      </c>
      <c r="AN192" s="21">
        <v>4996.0</v>
      </c>
      <c r="AO192" s="21">
        <v>10.0</v>
      </c>
      <c r="AP192" s="20">
        <v>1610.0</v>
      </c>
      <c r="AQ192" s="20">
        <v>4.2</v>
      </c>
    </row>
    <row r="193" ht="22.5" hidden="1" customHeight="1">
      <c r="AJ193" s="20" t="s">
        <v>28</v>
      </c>
      <c r="AK193" s="21">
        <v>1.0</v>
      </c>
      <c r="AL193" s="20" t="s">
        <v>4</v>
      </c>
      <c r="AM193" s="20" t="s">
        <v>32</v>
      </c>
      <c r="AN193" s="21">
        <v>1412.0</v>
      </c>
      <c r="AO193" s="21">
        <v>10.0</v>
      </c>
      <c r="AP193" s="20">
        <v>4480.0</v>
      </c>
      <c r="AQ193" s="20">
        <v>4.23</v>
      </c>
    </row>
    <row r="194" ht="22.5" hidden="1" customHeight="1">
      <c r="AJ194" s="20" t="s">
        <v>28</v>
      </c>
      <c r="AK194" s="21">
        <v>1.0</v>
      </c>
      <c r="AL194" s="20" t="s">
        <v>4</v>
      </c>
      <c r="AM194" s="20" t="s">
        <v>32</v>
      </c>
      <c r="AN194" s="21">
        <v>33668.0</v>
      </c>
      <c r="AO194" s="21">
        <v>10.0</v>
      </c>
      <c r="AP194" s="20">
        <v>4480.0</v>
      </c>
      <c r="AQ194" s="20">
        <v>4.25</v>
      </c>
    </row>
    <row r="195" ht="22.5" hidden="1" customHeight="1">
      <c r="AJ195" s="20" t="s">
        <v>28</v>
      </c>
      <c r="AK195" s="21">
        <v>1.0</v>
      </c>
      <c r="AL195" s="20" t="s">
        <v>5</v>
      </c>
      <c r="AM195" s="20" t="s">
        <v>31</v>
      </c>
      <c r="AN195" s="21">
        <v>1412.0</v>
      </c>
      <c r="AO195" s="21">
        <v>20.0</v>
      </c>
      <c r="AP195" s="20">
        <v>1610.0</v>
      </c>
      <c r="AQ195" s="20">
        <v>4.28</v>
      </c>
    </row>
    <row r="196" ht="22.5" hidden="1" customHeight="1">
      <c r="AJ196" s="20" t="s">
        <v>28</v>
      </c>
      <c r="AK196" s="21">
        <v>1.0</v>
      </c>
      <c r="AL196" s="20" t="s">
        <v>5</v>
      </c>
      <c r="AM196" s="20" t="s">
        <v>31</v>
      </c>
      <c r="AN196" s="21">
        <v>1924.0</v>
      </c>
      <c r="AO196" s="21">
        <v>20.0</v>
      </c>
      <c r="AP196" s="20">
        <v>1610.0</v>
      </c>
      <c r="AQ196" s="20">
        <v>4.28</v>
      </c>
    </row>
    <row r="197" ht="22.5" hidden="1" customHeight="1">
      <c r="AJ197" s="20" t="s">
        <v>28</v>
      </c>
      <c r="AK197" s="21">
        <v>1.0</v>
      </c>
      <c r="AL197" s="20" t="s">
        <v>5</v>
      </c>
      <c r="AM197" s="20" t="s">
        <v>31</v>
      </c>
      <c r="AN197" s="21">
        <v>33668.0</v>
      </c>
      <c r="AO197" s="21">
        <v>20.0</v>
      </c>
      <c r="AP197" s="20">
        <v>1610.0</v>
      </c>
      <c r="AQ197" s="20">
        <v>4.29</v>
      </c>
    </row>
    <row r="198" ht="22.5" hidden="1" customHeight="1">
      <c r="AJ198" s="20" t="s">
        <v>28</v>
      </c>
      <c r="AK198" s="21">
        <v>1.0</v>
      </c>
      <c r="AL198" s="20" t="s">
        <v>4</v>
      </c>
      <c r="AM198" s="20" t="s">
        <v>31</v>
      </c>
      <c r="AN198" s="21">
        <v>1412.0</v>
      </c>
      <c r="AO198" s="21">
        <v>10.0</v>
      </c>
      <c r="AP198" s="20">
        <v>1610.0</v>
      </c>
      <c r="AQ198" s="20">
        <v>4.32</v>
      </c>
    </row>
    <row r="199" ht="22.5" hidden="1" customHeight="1">
      <c r="AJ199" s="20" t="s">
        <v>28</v>
      </c>
      <c r="AK199" s="21">
        <v>1.0</v>
      </c>
      <c r="AL199" s="20" t="s">
        <v>3</v>
      </c>
      <c r="AM199" s="20" t="s">
        <v>31</v>
      </c>
      <c r="AN199" s="21">
        <v>1412.0</v>
      </c>
      <c r="AO199" s="21">
        <v>20.0</v>
      </c>
      <c r="AP199" s="20">
        <v>1610.0</v>
      </c>
      <c r="AQ199" s="20">
        <v>4.39</v>
      </c>
    </row>
    <row r="200" ht="22.5" hidden="1" customHeight="1">
      <c r="AJ200" s="20" t="s">
        <v>28</v>
      </c>
      <c r="AK200" s="21">
        <v>1.0</v>
      </c>
      <c r="AL200" s="20" t="s">
        <v>5</v>
      </c>
      <c r="AM200" s="20" t="s">
        <v>33</v>
      </c>
      <c r="AN200" s="21">
        <v>131972.0</v>
      </c>
      <c r="AO200" s="21">
        <v>20.0</v>
      </c>
      <c r="AP200" s="20">
        <v>4800.0</v>
      </c>
      <c r="AQ200" s="20">
        <v>4.66</v>
      </c>
    </row>
    <row r="201" ht="22.5" hidden="1" customHeight="1">
      <c r="AJ201" s="20" t="s">
        <v>28</v>
      </c>
      <c r="AK201" s="21">
        <v>1.0</v>
      </c>
      <c r="AL201" s="20" t="s">
        <v>4</v>
      </c>
      <c r="AM201" s="20" t="s">
        <v>31</v>
      </c>
      <c r="AN201" s="21">
        <v>1156.0</v>
      </c>
      <c r="AO201" s="21">
        <v>10.0</v>
      </c>
      <c r="AP201" s="20">
        <v>1610.0</v>
      </c>
      <c r="AQ201" s="20">
        <v>4.71</v>
      </c>
    </row>
    <row r="202" ht="22.5" hidden="1" customHeight="1">
      <c r="AJ202" s="20" t="s">
        <v>28</v>
      </c>
      <c r="AK202" s="21">
        <v>1.0</v>
      </c>
      <c r="AL202" s="20" t="s">
        <v>2</v>
      </c>
      <c r="AM202" s="20" t="s">
        <v>31</v>
      </c>
      <c r="AN202" s="21">
        <v>1412.0</v>
      </c>
      <c r="AO202" s="21">
        <v>10.0</v>
      </c>
      <c r="AP202" s="20">
        <v>1610.0</v>
      </c>
      <c r="AQ202" s="20">
        <v>4.8</v>
      </c>
    </row>
    <row r="203" ht="22.5" hidden="1" customHeight="1">
      <c r="AJ203" s="20" t="s">
        <v>28</v>
      </c>
      <c r="AK203" s="21">
        <v>1.0</v>
      </c>
      <c r="AL203" s="20" t="s">
        <v>5</v>
      </c>
      <c r="AM203" s="20" t="s">
        <v>31</v>
      </c>
      <c r="AN203" s="21">
        <v>2948.0</v>
      </c>
      <c r="AO203" s="21">
        <v>20.0</v>
      </c>
      <c r="AP203" s="20">
        <v>1610.0</v>
      </c>
      <c r="AQ203" s="20">
        <v>4.91</v>
      </c>
    </row>
    <row r="204" ht="22.5" hidden="1" customHeight="1">
      <c r="AJ204" s="20" t="s">
        <v>28</v>
      </c>
      <c r="AK204" s="21">
        <v>1.0</v>
      </c>
      <c r="AL204" s="20" t="s">
        <v>3</v>
      </c>
      <c r="AM204" s="20" t="s">
        <v>35</v>
      </c>
      <c r="AN204" s="21">
        <v>2948.0</v>
      </c>
      <c r="AO204" s="21">
        <v>20.0</v>
      </c>
      <c r="AP204" s="20">
        <v>3974.0</v>
      </c>
      <c r="AQ204" s="20">
        <v>5.02</v>
      </c>
    </row>
    <row r="205" ht="22.5" hidden="1" customHeight="1">
      <c r="AJ205" s="20" t="s">
        <v>28</v>
      </c>
      <c r="AK205" s="21">
        <v>1.0</v>
      </c>
      <c r="AL205" s="20" t="s">
        <v>5</v>
      </c>
      <c r="AM205" s="20" t="s">
        <v>35</v>
      </c>
      <c r="AN205" s="21">
        <v>1924.0</v>
      </c>
      <c r="AO205" s="21">
        <v>20.0</v>
      </c>
      <c r="AP205" s="20">
        <v>3974.0</v>
      </c>
      <c r="AQ205" s="20">
        <v>5.16</v>
      </c>
    </row>
    <row r="206" ht="22.5" hidden="1" customHeight="1">
      <c r="AJ206" s="20" t="s">
        <v>28</v>
      </c>
      <c r="AK206" s="21">
        <v>1.0</v>
      </c>
      <c r="AL206" s="20" t="s">
        <v>5</v>
      </c>
      <c r="AM206" s="20" t="s">
        <v>35</v>
      </c>
      <c r="AN206" s="21">
        <v>17284.0</v>
      </c>
      <c r="AO206" s="21">
        <v>20.0</v>
      </c>
      <c r="AP206" s="20">
        <v>3974.0</v>
      </c>
      <c r="AQ206" s="20">
        <v>5.23</v>
      </c>
    </row>
    <row r="207" ht="22.5" hidden="1" customHeight="1">
      <c r="AJ207" s="20" t="s">
        <v>28</v>
      </c>
      <c r="AK207" s="21">
        <v>1.0</v>
      </c>
      <c r="AL207" s="20" t="s">
        <v>4</v>
      </c>
      <c r="AM207" s="20" t="s">
        <v>31</v>
      </c>
      <c r="AN207" s="21">
        <v>33668.0</v>
      </c>
      <c r="AO207" s="21">
        <v>10.0</v>
      </c>
      <c r="AP207" s="20">
        <v>1610.0</v>
      </c>
      <c r="AQ207" s="20">
        <v>5.36</v>
      </c>
    </row>
    <row r="208" ht="22.5" hidden="1" customHeight="1">
      <c r="AJ208" s="20" t="s">
        <v>28</v>
      </c>
      <c r="AK208" s="21">
        <v>1.0</v>
      </c>
      <c r="AL208" s="20" t="s">
        <v>2</v>
      </c>
      <c r="AM208" s="20" t="s">
        <v>31</v>
      </c>
      <c r="AN208" s="21">
        <v>1156.0</v>
      </c>
      <c r="AO208" s="21">
        <v>10.0</v>
      </c>
      <c r="AP208" s="20">
        <v>1610.0</v>
      </c>
      <c r="AQ208" s="20">
        <v>5.49</v>
      </c>
    </row>
    <row r="209" ht="22.5" hidden="1" customHeight="1">
      <c r="AJ209" s="20" t="s">
        <v>28</v>
      </c>
      <c r="AK209" s="21">
        <v>1.0</v>
      </c>
      <c r="AL209" s="20" t="s">
        <v>4</v>
      </c>
      <c r="AM209" s="20" t="s">
        <v>31</v>
      </c>
      <c r="AN209" s="21">
        <v>1924.0</v>
      </c>
      <c r="AO209" s="21">
        <v>10.0</v>
      </c>
      <c r="AP209" s="20">
        <v>1610.0</v>
      </c>
      <c r="AQ209" s="20">
        <v>5.68</v>
      </c>
    </row>
    <row r="210" ht="22.5" hidden="1" customHeight="1">
      <c r="AJ210" s="20" t="s">
        <v>28</v>
      </c>
      <c r="AK210" s="21">
        <v>1.0</v>
      </c>
      <c r="AL210" s="20" t="s">
        <v>5</v>
      </c>
      <c r="AM210" s="20" t="s">
        <v>33</v>
      </c>
      <c r="AN210" s="21">
        <v>66436.0</v>
      </c>
      <c r="AO210" s="21">
        <v>20.0</v>
      </c>
      <c r="AP210" s="20">
        <v>4800.0</v>
      </c>
      <c r="AQ210" s="20">
        <v>5.68</v>
      </c>
    </row>
    <row r="211" ht="22.5" hidden="1" customHeight="1">
      <c r="AJ211" s="20" t="s">
        <v>28</v>
      </c>
      <c r="AK211" s="21">
        <v>1.0</v>
      </c>
      <c r="AL211" s="20" t="s">
        <v>5</v>
      </c>
      <c r="AM211" s="20" t="s">
        <v>31</v>
      </c>
      <c r="AN211" s="21">
        <v>4996.0</v>
      </c>
      <c r="AO211" s="21">
        <v>20.0</v>
      </c>
      <c r="AP211" s="20">
        <v>1610.0</v>
      </c>
      <c r="AQ211" s="20">
        <v>6.02</v>
      </c>
    </row>
    <row r="212" ht="22.5" hidden="1" customHeight="1">
      <c r="AJ212" s="20" t="s">
        <v>28</v>
      </c>
      <c r="AK212" s="21">
        <v>1.0</v>
      </c>
      <c r="AL212" s="20" t="s">
        <v>5</v>
      </c>
      <c r="AM212" s="20" t="s">
        <v>31</v>
      </c>
      <c r="AN212" s="21">
        <v>1156.0</v>
      </c>
      <c r="AO212" s="21">
        <v>20.0</v>
      </c>
      <c r="AP212" s="20">
        <v>1610.0</v>
      </c>
      <c r="AQ212" s="20">
        <v>6.03</v>
      </c>
    </row>
    <row r="213" ht="22.5" hidden="1" customHeight="1">
      <c r="AJ213" s="20" t="s">
        <v>28</v>
      </c>
      <c r="AK213" s="21">
        <v>1.0</v>
      </c>
      <c r="AL213" s="20" t="s">
        <v>5</v>
      </c>
      <c r="AM213" s="20" t="s">
        <v>31</v>
      </c>
      <c r="AN213" s="21">
        <v>17284.0</v>
      </c>
      <c r="AO213" s="21">
        <v>20.0</v>
      </c>
      <c r="AP213" s="20">
        <v>1610.0</v>
      </c>
      <c r="AQ213" s="20">
        <v>6.04</v>
      </c>
    </row>
    <row r="214" ht="22.5" hidden="1" customHeight="1">
      <c r="AJ214" s="20" t="s">
        <v>28</v>
      </c>
      <c r="AK214" s="21">
        <v>1.0</v>
      </c>
      <c r="AL214" s="20" t="s">
        <v>3</v>
      </c>
      <c r="AM214" s="20" t="s">
        <v>31</v>
      </c>
      <c r="AN214" s="21">
        <v>2948.0</v>
      </c>
      <c r="AO214" s="21">
        <v>20.0</v>
      </c>
      <c r="AP214" s="20">
        <v>1610.0</v>
      </c>
      <c r="AQ214" s="20">
        <v>6.12</v>
      </c>
    </row>
    <row r="215" ht="22.5" hidden="1" customHeight="1">
      <c r="AJ215" s="20" t="s">
        <v>28</v>
      </c>
      <c r="AK215" s="21">
        <v>1.0</v>
      </c>
      <c r="AL215" s="20" t="s">
        <v>3</v>
      </c>
      <c r="AM215" s="20" t="s">
        <v>31</v>
      </c>
      <c r="AN215" s="21">
        <v>1924.0</v>
      </c>
      <c r="AO215" s="21">
        <v>20.0</v>
      </c>
      <c r="AP215" s="20">
        <v>1610.0</v>
      </c>
      <c r="AQ215" s="20">
        <v>6.32</v>
      </c>
    </row>
    <row r="216" ht="22.5" hidden="1" customHeight="1">
      <c r="AJ216" s="20" t="s">
        <v>28</v>
      </c>
      <c r="AK216" s="21">
        <v>1.0</v>
      </c>
      <c r="AL216" s="20" t="s">
        <v>2</v>
      </c>
      <c r="AM216" s="20" t="s">
        <v>36</v>
      </c>
      <c r="AN216" s="21">
        <v>1924.0</v>
      </c>
      <c r="AO216" s="21">
        <v>10.0</v>
      </c>
      <c r="AP216" s="20">
        <v>3240.0</v>
      </c>
      <c r="AQ216" s="20">
        <v>403.64</v>
      </c>
    </row>
    <row r="217" ht="22.5" hidden="1" customHeight="1">
      <c r="AJ217" s="20" t="s">
        <v>28</v>
      </c>
      <c r="AK217" s="21">
        <v>1.0</v>
      </c>
      <c r="AL217" s="20" t="s">
        <v>4</v>
      </c>
      <c r="AM217" s="20" t="s">
        <v>36</v>
      </c>
      <c r="AN217" s="21">
        <v>2948.0</v>
      </c>
      <c r="AO217" s="21">
        <v>10.0</v>
      </c>
      <c r="AP217" s="20">
        <v>4690.0</v>
      </c>
      <c r="AQ217" s="20">
        <v>405.63</v>
      </c>
    </row>
    <row r="218" ht="22.5" hidden="1" customHeight="1">
      <c r="AJ218" s="20" t="s">
        <v>28</v>
      </c>
      <c r="AK218" s="21">
        <v>1.0</v>
      </c>
      <c r="AL218" s="20" t="s">
        <v>5</v>
      </c>
      <c r="AM218" s="20" t="s">
        <v>36</v>
      </c>
      <c r="AN218" s="21">
        <v>1924.0</v>
      </c>
      <c r="AO218" s="21">
        <v>20.0</v>
      </c>
      <c r="AP218" s="20">
        <v>3240.0</v>
      </c>
      <c r="AQ218" s="20">
        <v>410.3</v>
      </c>
    </row>
    <row r="219" ht="22.5" hidden="1" customHeight="1">
      <c r="AJ219" s="20" t="s">
        <v>28</v>
      </c>
      <c r="AK219" s="21">
        <v>1.0</v>
      </c>
      <c r="AL219" s="20" t="s">
        <v>3</v>
      </c>
      <c r="AM219" s="20" t="s">
        <v>36</v>
      </c>
      <c r="AN219" s="21">
        <v>1924.0</v>
      </c>
      <c r="AO219" s="21">
        <v>20.0</v>
      </c>
      <c r="AP219" s="20">
        <v>3240.0</v>
      </c>
      <c r="AQ219" s="20">
        <v>410.58</v>
      </c>
    </row>
    <row r="220" ht="22.5" hidden="1" customHeight="1">
      <c r="AJ220" s="20" t="s">
        <v>28</v>
      </c>
      <c r="AK220" s="21">
        <v>1.0</v>
      </c>
      <c r="AL220" s="20" t="s">
        <v>4</v>
      </c>
      <c r="AM220" s="20" t="s">
        <v>36</v>
      </c>
      <c r="AN220" s="21">
        <v>1924.0</v>
      </c>
      <c r="AO220" s="21">
        <v>10.0</v>
      </c>
      <c r="AP220" s="20">
        <v>3240.0</v>
      </c>
      <c r="AQ220" s="20">
        <v>410.99</v>
      </c>
    </row>
    <row r="221" ht="22.5" hidden="1" customHeight="1">
      <c r="AJ221" s="20" t="s">
        <v>28</v>
      </c>
      <c r="AK221" s="21">
        <v>1.0</v>
      </c>
      <c r="AL221" s="20" t="s">
        <v>4</v>
      </c>
      <c r="AM221" s="20" t="s">
        <v>36</v>
      </c>
      <c r="AN221" s="21">
        <v>1156.0</v>
      </c>
      <c r="AO221" s="21">
        <v>10.0</v>
      </c>
      <c r="AP221" s="20">
        <v>3270.0</v>
      </c>
      <c r="AQ221" s="20">
        <v>411.96</v>
      </c>
    </row>
    <row r="222" ht="22.5" hidden="1" customHeight="1">
      <c r="AJ222" s="20" t="s">
        <v>28</v>
      </c>
      <c r="AK222" s="21">
        <v>1.0</v>
      </c>
      <c r="AL222" s="20" t="s">
        <v>2</v>
      </c>
      <c r="AM222" s="20" t="s">
        <v>36</v>
      </c>
      <c r="AN222" s="21">
        <v>1156.0</v>
      </c>
      <c r="AO222" s="21">
        <v>10.0</v>
      </c>
      <c r="AP222" s="20">
        <v>3270.0</v>
      </c>
      <c r="AQ222" s="20">
        <v>412.45</v>
      </c>
    </row>
    <row r="223" ht="22.5" hidden="1" customHeight="1">
      <c r="AJ223" s="20" t="s">
        <v>28</v>
      </c>
      <c r="AK223" s="21">
        <v>1.0</v>
      </c>
      <c r="AL223" s="20" t="s">
        <v>5</v>
      </c>
      <c r="AM223" s="20" t="s">
        <v>36</v>
      </c>
      <c r="AN223" s="21">
        <v>2948.0</v>
      </c>
      <c r="AO223" s="21">
        <v>20.0</v>
      </c>
      <c r="AP223" s="20">
        <v>4690.0</v>
      </c>
      <c r="AQ223" s="20">
        <v>412.49</v>
      </c>
    </row>
    <row r="224" ht="22.5" hidden="1" customHeight="1">
      <c r="AJ224" s="20" t="s">
        <v>28</v>
      </c>
      <c r="AK224" s="21">
        <v>1.0</v>
      </c>
      <c r="AL224" s="20" t="s">
        <v>4</v>
      </c>
      <c r="AM224" s="20" t="s">
        <v>36</v>
      </c>
      <c r="AN224" s="21">
        <v>33668.0</v>
      </c>
      <c r="AO224" s="21">
        <v>10.0</v>
      </c>
      <c r="AP224" s="20">
        <v>3980.0</v>
      </c>
      <c r="AQ224" s="20">
        <v>413.01</v>
      </c>
    </row>
    <row r="225" ht="22.5" hidden="1" customHeight="1">
      <c r="AJ225" s="20" t="s">
        <v>28</v>
      </c>
      <c r="AK225" s="21">
        <v>1.0</v>
      </c>
      <c r="AL225" s="20" t="s">
        <v>3</v>
      </c>
      <c r="AM225" s="20" t="s">
        <v>36</v>
      </c>
      <c r="AN225" s="21">
        <v>1156.0</v>
      </c>
      <c r="AO225" s="21">
        <v>20.0</v>
      </c>
      <c r="AP225" s="20">
        <v>3270.0</v>
      </c>
      <c r="AQ225" s="20">
        <v>416.33</v>
      </c>
    </row>
    <row r="226" ht="22.5" hidden="1" customHeight="1">
      <c r="AJ226" s="20" t="s">
        <v>28</v>
      </c>
      <c r="AK226" s="21">
        <v>1.0</v>
      </c>
      <c r="AL226" s="20" t="s">
        <v>4</v>
      </c>
      <c r="AM226" s="20" t="s">
        <v>36</v>
      </c>
      <c r="AN226" s="21">
        <v>1412.0</v>
      </c>
      <c r="AO226" s="21">
        <v>10.0</v>
      </c>
      <c r="AP226" s="20">
        <v>3330.0</v>
      </c>
      <c r="AQ226" s="20">
        <v>416.38</v>
      </c>
    </row>
    <row r="227" ht="22.5" hidden="1" customHeight="1">
      <c r="AJ227" s="20" t="s">
        <v>28</v>
      </c>
      <c r="AK227" s="21">
        <v>1.0</v>
      </c>
      <c r="AL227" s="20" t="s">
        <v>3</v>
      </c>
      <c r="AM227" s="20" t="s">
        <v>36</v>
      </c>
      <c r="AN227" s="21">
        <v>1412.0</v>
      </c>
      <c r="AO227" s="21">
        <v>20.0</v>
      </c>
      <c r="AP227" s="20">
        <v>3330.0</v>
      </c>
      <c r="AQ227" s="20">
        <v>418.43</v>
      </c>
    </row>
    <row r="228" ht="22.5" hidden="1" customHeight="1">
      <c r="AJ228" s="20" t="s">
        <v>28</v>
      </c>
      <c r="AK228" s="21">
        <v>1.0</v>
      </c>
      <c r="AL228" s="20" t="s">
        <v>2</v>
      </c>
      <c r="AM228" s="20" t="s">
        <v>36</v>
      </c>
      <c r="AN228" s="21">
        <v>1412.0</v>
      </c>
      <c r="AO228" s="21">
        <v>10.0</v>
      </c>
      <c r="AP228" s="20">
        <v>3330.0</v>
      </c>
      <c r="AQ228" s="20">
        <v>420.45</v>
      </c>
    </row>
    <row r="229" ht="22.5" hidden="1" customHeight="1">
      <c r="AJ229" s="20" t="s">
        <v>28</v>
      </c>
      <c r="AK229" s="21">
        <v>1.0</v>
      </c>
      <c r="AL229" s="20" t="s">
        <v>5</v>
      </c>
      <c r="AM229" s="20" t="s">
        <v>36</v>
      </c>
      <c r="AN229" s="21">
        <v>9092.0</v>
      </c>
      <c r="AO229" s="21">
        <v>20.0</v>
      </c>
      <c r="AP229" s="20">
        <v>3270.0</v>
      </c>
      <c r="AQ229" s="20">
        <v>420.96</v>
      </c>
    </row>
    <row r="230" ht="22.5" hidden="1" customHeight="1">
      <c r="AJ230" s="20" t="s">
        <v>28</v>
      </c>
      <c r="AK230" s="21">
        <v>1.0</v>
      </c>
      <c r="AL230" s="20" t="s">
        <v>4</v>
      </c>
      <c r="AM230" s="20" t="s">
        <v>36</v>
      </c>
      <c r="AN230" s="21">
        <v>9092.0</v>
      </c>
      <c r="AO230" s="21">
        <v>10.0</v>
      </c>
      <c r="AP230" s="20">
        <v>3270.0</v>
      </c>
      <c r="AQ230" s="20">
        <v>422.22</v>
      </c>
    </row>
    <row r="231" ht="22.5" hidden="1" customHeight="1">
      <c r="AJ231" s="20" t="s">
        <v>28</v>
      </c>
      <c r="AK231" s="21">
        <v>1.0</v>
      </c>
      <c r="AL231" s="20" t="s">
        <v>3</v>
      </c>
      <c r="AM231" s="20" t="s">
        <v>36</v>
      </c>
      <c r="AN231" s="21">
        <v>2948.0</v>
      </c>
      <c r="AO231" s="21">
        <v>20.0</v>
      </c>
      <c r="AP231" s="20">
        <v>4690.0</v>
      </c>
      <c r="AQ231" s="20">
        <v>422.71</v>
      </c>
    </row>
    <row r="232" ht="22.5" hidden="1" customHeight="1">
      <c r="AJ232" s="20" t="s">
        <v>28</v>
      </c>
      <c r="AK232" s="21">
        <v>1.0</v>
      </c>
      <c r="AL232" s="20" t="s">
        <v>5</v>
      </c>
      <c r="AM232" s="20" t="s">
        <v>36</v>
      </c>
      <c r="AN232" s="21">
        <v>17284.0</v>
      </c>
      <c r="AO232" s="21">
        <v>20.0</v>
      </c>
      <c r="AP232" s="20">
        <v>3880.0</v>
      </c>
      <c r="AQ232" s="20">
        <v>425.3</v>
      </c>
    </row>
    <row r="233" ht="22.5" hidden="1" customHeight="1">
      <c r="AJ233" s="20" t="s">
        <v>28</v>
      </c>
      <c r="AK233" s="21">
        <v>1.0</v>
      </c>
      <c r="AL233" s="20" t="s">
        <v>5</v>
      </c>
      <c r="AM233" s="20" t="s">
        <v>36</v>
      </c>
      <c r="AN233" s="21">
        <v>1156.0</v>
      </c>
      <c r="AO233" s="21">
        <v>20.0</v>
      </c>
      <c r="AP233" s="20">
        <v>3270.0</v>
      </c>
      <c r="AQ233" s="20">
        <v>426.33</v>
      </c>
    </row>
    <row r="234" ht="22.5" hidden="1" customHeight="1">
      <c r="AJ234" s="20" t="s">
        <v>28</v>
      </c>
      <c r="AK234" s="21">
        <v>1.0</v>
      </c>
      <c r="AL234" s="20" t="s">
        <v>5</v>
      </c>
      <c r="AM234" s="20" t="s">
        <v>36</v>
      </c>
      <c r="AN234" s="21">
        <v>33668.0</v>
      </c>
      <c r="AO234" s="21">
        <v>20.0</v>
      </c>
      <c r="AP234" s="20">
        <v>3980.0</v>
      </c>
      <c r="AQ234" s="20">
        <v>432.61</v>
      </c>
    </row>
    <row r="235" ht="22.5" hidden="1" customHeight="1">
      <c r="AJ235" s="20" t="s">
        <v>28</v>
      </c>
      <c r="AK235" s="21">
        <v>1.0</v>
      </c>
      <c r="AL235" s="20" t="s">
        <v>5</v>
      </c>
      <c r="AM235" s="20" t="s">
        <v>36</v>
      </c>
      <c r="AN235" s="21">
        <v>1412.0</v>
      </c>
      <c r="AO235" s="21">
        <v>20.0</v>
      </c>
      <c r="AP235" s="20">
        <v>3330.0</v>
      </c>
      <c r="AQ235" s="20">
        <v>435.05</v>
      </c>
    </row>
    <row r="236" ht="22.5" hidden="1" customHeight="1">
      <c r="AJ236" s="20" t="s">
        <v>28</v>
      </c>
      <c r="AK236" s="21">
        <v>1.0</v>
      </c>
      <c r="AL236" s="20" t="s">
        <v>4</v>
      </c>
      <c r="AM236" s="20" t="s">
        <v>36</v>
      </c>
      <c r="AN236" s="21">
        <v>17284.0</v>
      </c>
      <c r="AO236" s="21">
        <v>10.0</v>
      </c>
      <c r="AP236" s="20">
        <v>3880.0</v>
      </c>
      <c r="AQ236" s="20">
        <v>437.71</v>
      </c>
    </row>
    <row r="237" ht="22.5" hidden="1" customHeight="1">
      <c r="AJ237" s="20" t="s">
        <v>28</v>
      </c>
      <c r="AK237" s="21">
        <v>1.0</v>
      </c>
      <c r="AL237" s="20" t="s">
        <v>4</v>
      </c>
      <c r="AM237" s="20" t="s">
        <v>36</v>
      </c>
      <c r="AN237" s="21">
        <v>66436.0</v>
      </c>
      <c r="AO237" s="21">
        <v>10.0</v>
      </c>
      <c r="AP237" s="20">
        <v>3270.0</v>
      </c>
      <c r="AQ237" s="20">
        <v>442.48</v>
      </c>
    </row>
    <row r="238" ht="22.5" hidden="1" customHeight="1">
      <c r="AJ238" s="20" t="s">
        <v>28</v>
      </c>
      <c r="AK238" s="21">
        <v>1.0</v>
      </c>
      <c r="AL238" s="20" t="s">
        <v>5</v>
      </c>
      <c r="AM238" s="20" t="s">
        <v>36</v>
      </c>
      <c r="AN238" s="21">
        <v>66436.0</v>
      </c>
      <c r="AO238" s="21">
        <v>20.0</v>
      </c>
      <c r="AP238" s="20">
        <v>3270.0</v>
      </c>
      <c r="AQ238" s="20">
        <v>448.92</v>
      </c>
    </row>
    <row r="239" ht="22.5" hidden="1" customHeight="1">
      <c r="AJ239" s="20" t="s">
        <v>28</v>
      </c>
      <c r="AK239" s="21">
        <v>1.0</v>
      </c>
      <c r="AL239" s="20" t="s">
        <v>4</v>
      </c>
      <c r="AM239" s="20" t="s">
        <v>36</v>
      </c>
      <c r="AN239" s="21">
        <v>131972.0</v>
      </c>
      <c r="AO239" s="21">
        <v>10.0</v>
      </c>
      <c r="AP239" s="20">
        <v>3360.0</v>
      </c>
      <c r="AQ239" s="20">
        <v>462.21</v>
      </c>
    </row>
    <row r="240" ht="22.5" hidden="1" customHeight="1">
      <c r="AJ240" s="20" t="s">
        <v>28</v>
      </c>
      <c r="AK240" s="21">
        <v>1.0</v>
      </c>
      <c r="AL240" s="20" t="s">
        <v>5</v>
      </c>
      <c r="AM240" s="20" t="s">
        <v>36</v>
      </c>
      <c r="AN240" s="21">
        <v>131972.0</v>
      </c>
      <c r="AO240" s="21">
        <v>20.0</v>
      </c>
      <c r="AP240" s="20">
        <v>3360.0</v>
      </c>
      <c r="AQ240" s="20">
        <v>468.3</v>
      </c>
    </row>
    <row r="241" ht="22.5" hidden="1" customHeight="1">
      <c r="AJ241" s="20" t="s">
        <v>28</v>
      </c>
      <c r="AK241" s="21">
        <v>1.0</v>
      </c>
      <c r="AL241" s="20" t="s">
        <v>3</v>
      </c>
      <c r="AM241" s="20" t="s">
        <v>36</v>
      </c>
      <c r="AN241" s="21">
        <v>4996.0</v>
      </c>
      <c r="AO241" s="21">
        <v>20.0</v>
      </c>
      <c r="AP241" s="20">
        <v>3240.0</v>
      </c>
      <c r="AQ241" s="20">
        <v>487.75</v>
      </c>
    </row>
    <row r="242" ht="22.5" hidden="1" customHeight="1">
      <c r="AJ242" s="20" t="s">
        <v>28</v>
      </c>
      <c r="AK242" s="21">
        <v>1.0</v>
      </c>
      <c r="AL242" s="20" t="s">
        <v>4</v>
      </c>
      <c r="AM242" s="20" t="s">
        <v>36</v>
      </c>
      <c r="AN242" s="21">
        <v>4996.0</v>
      </c>
      <c r="AO242" s="21">
        <v>10.0</v>
      </c>
      <c r="AP242" s="20">
        <v>3240.0</v>
      </c>
      <c r="AQ242" s="20">
        <v>488.44</v>
      </c>
    </row>
    <row r="243" ht="22.5" hidden="1" customHeight="1">
      <c r="AJ243" s="20" t="s">
        <v>28</v>
      </c>
      <c r="AK243" s="21">
        <v>1.0</v>
      </c>
      <c r="AL243" s="20" t="s">
        <v>5</v>
      </c>
      <c r="AM243" s="20" t="s">
        <v>36</v>
      </c>
      <c r="AN243" s="21">
        <v>4996.0</v>
      </c>
      <c r="AO243" s="21">
        <v>20.0</v>
      </c>
      <c r="AP243" s="20">
        <v>3240.0</v>
      </c>
      <c r="AQ243" s="20">
        <v>496.64</v>
      </c>
    </row>
    <row r="244" ht="22.5" hidden="1" customHeight="1">
      <c r="AJ244" s="20" t="s">
        <v>65</v>
      </c>
      <c r="AK244" s="21">
        <v>3.0</v>
      </c>
      <c r="AL244" s="20" t="s">
        <v>2</v>
      </c>
      <c r="AM244" s="20" t="s">
        <v>55</v>
      </c>
      <c r="AN244" s="21">
        <v>1412.0</v>
      </c>
      <c r="AO244" s="21">
        <v>10.0</v>
      </c>
      <c r="AP244" s="20">
        <v>114430.0</v>
      </c>
      <c r="AQ244" s="20">
        <v>531.95</v>
      </c>
    </row>
    <row r="245" ht="22.5" hidden="1" customHeight="1">
      <c r="AJ245" s="20" t="s">
        <v>65</v>
      </c>
      <c r="AK245" s="21">
        <v>2.0</v>
      </c>
      <c r="AL245" s="20" t="s">
        <v>4</v>
      </c>
      <c r="AM245" s="20" t="s">
        <v>50</v>
      </c>
      <c r="AN245" s="21">
        <v>1156.0</v>
      </c>
      <c r="AO245" s="21">
        <v>10.0</v>
      </c>
      <c r="AP245" s="20">
        <v>194365.0</v>
      </c>
      <c r="AQ245" s="20">
        <v>668.02</v>
      </c>
    </row>
    <row r="246" ht="22.5" hidden="1" customHeight="1">
      <c r="AJ246" s="20" t="s">
        <v>65</v>
      </c>
      <c r="AK246" s="21">
        <v>2.0</v>
      </c>
      <c r="AL246" s="20" t="s">
        <v>4</v>
      </c>
      <c r="AM246" s="20" t="s">
        <v>50</v>
      </c>
      <c r="AN246" s="21">
        <v>17284.0</v>
      </c>
      <c r="AO246" s="21">
        <v>10.0</v>
      </c>
      <c r="AP246" s="20">
        <v>194365.0</v>
      </c>
      <c r="AQ246" s="20">
        <v>675.56</v>
      </c>
    </row>
    <row r="247" ht="22.5" hidden="1" customHeight="1">
      <c r="AJ247" s="20" t="s">
        <v>65</v>
      </c>
      <c r="AK247" s="21">
        <v>2.0</v>
      </c>
      <c r="AL247" s="20" t="s">
        <v>4</v>
      </c>
      <c r="AM247" s="20" t="s">
        <v>50</v>
      </c>
      <c r="AN247" s="21">
        <v>1412.0</v>
      </c>
      <c r="AO247" s="21">
        <v>10.0</v>
      </c>
      <c r="AP247" s="20">
        <v>194365.0</v>
      </c>
      <c r="AQ247" s="20">
        <v>678.75</v>
      </c>
    </row>
    <row r="248" ht="22.5" hidden="1" customHeight="1">
      <c r="AJ248" s="20" t="s">
        <v>65</v>
      </c>
      <c r="AK248" s="21">
        <v>2.0</v>
      </c>
      <c r="AL248" s="20" t="s">
        <v>4</v>
      </c>
      <c r="AM248" s="20" t="s">
        <v>50</v>
      </c>
      <c r="AN248" s="21">
        <v>131972.0</v>
      </c>
      <c r="AO248" s="21">
        <v>10.0</v>
      </c>
      <c r="AP248" s="20">
        <v>194365.0</v>
      </c>
      <c r="AQ248" s="20">
        <v>679.69</v>
      </c>
    </row>
    <row r="249" ht="22.5" hidden="1" customHeight="1">
      <c r="AJ249" s="20" t="s">
        <v>65</v>
      </c>
      <c r="AK249" s="21">
        <v>2.0</v>
      </c>
      <c r="AL249" s="20" t="s">
        <v>4</v>
      </c>
      <c r="AM249" s="20" t="s">
        <v>50</v>
      </c>
      <c r="AN249" s="21">
        <v>4996.0</v>
      </c>
      <c r="AO249" s="21">
        <v>10.0</v>
      </c>
      <c r="AP249" s="20">
        <v>194365.0</v>
      </c>
      <c r="AQ249" s="20">
        <v>683.3</v>
      </c>
    </row>
    <row r="250" ht="22.5" hidden="1" customHeight="1">
      <c r="AJ250" s="20" t="s">
        <v>65</v>
      </c>
      <c r="AK250" s="21">
        <v>2.0</v>
      </c>
      <c r="AL250" s="20" t="s">
        <v>2</v>
      </c>
      <c r="AM250" s="20" t="s">
        <v>56</v>
      </c>
      <c r="AN250" s="21">
        <v>2948.0</v>
      </c>
      <c r="AO250" s="21">
        <v>10.0</v>
      </c>
      <c r="AP250" s="20">
        <v>194438.0</v>
      </c>
      <c r="AQ250" s="20">
        <v>686.72</v>
      </c>
    </row>
    <row r="251" ht="22.5" hidden="1" customHeight="1">
      <c r="AJ251" s="20" t="s">
        <v>65</v>
      </c>
      <c r="AK251" s="21">
        <v>2.0</v>
      </c>
      <c r="AL251" s="20" t="s">
        <v>2</v>
      </c>
      <c r="AM251" s="20" t="s">
        <v>50</v>
      </c>
      <c r="AN251" s="21">
        <v>1924.0</v>
      </c>
      <c r="AO251" s="21">
        <v>10.0</v>
      </c>
      <c r="AP251" s="20">
        <v>194365.0</v>
      </c>
      <c r="AQ251" s="20">
        <v>687.5</v>
      </c>
    </row>
    <row r="252" ht="22.5" hidden="1" customHeight="1">
      <c r="AJ252" s="20" t="s">
        <v>65</v>
      </c>
      <c r="AK252" s="21">
        <v>2.0</v>
      </c>
      <c r="AL252" s="20" t="s">
        <v>3</v>
      </c>
      <c r="AM252" s="20" t="s">
        <v>50</v>
      </c>
      <c r="AN252" s="21">
        <v>1156.0</v>
      </c>
      <c r="AO252" s="21">
        <v>20.0</v>
      </c>
      <c r="AP252" s="20">
        <v>194365.0</v>
      </c>
      <c r="AQ252" s="20">
        <v>688.87</v>
      </c>
    </row>
    <row r="253" ht="22.5" hidden="1" customHeight="1">
      <c r="AJ253" s="20" t="s">
        <v>65</v>
      </c>
      <c r="AK253" s="21">
        <v>2.0</v>
      </c>
      <c r="AL253" s="20" t="s">
        <v>4</v>
      </c>
      <c r="AM253" s="20" t="s">
        <v>50</v>
      </c>
      <c r="AN253" s="21">
        <v>1924.0</v>
      </c>
      <c r="AO253" s="21">
        <v>10.0</v>
      </c>
      <c r="AP253" s="20">
        <v>194365.0</v>
      </c>
      <c r="AQ253" s="20">
        <v>689.21</v>
      </c>
    </row>
    <row r="254" ht="22.5" hidden="1" customHeight="1">
      <c r="AJ254" s="20" t="s">
        <v>65</v>
      </c>
      <c r="AK254" s="21">
        <v>2.0</v>
      </c>
      <c r="AL254" s="20" t="s">
        <v>2</v>
      </c>
      <c r="AM254" s="20" t="s">
        <v>50</v>
      </c>
      <c r="AN254" s="21">
        <v>1412.0</v>
      </c>
      <c r="AO254" s="21">
        <v>10.0</v>
      </c>
      <c r="AP254" s="20">
        <v>194365.0</v>
      </c>
      <c r="AQ254" s="20">
        <v>689.5</v>
      </c>
    </row>
    <row r="255" ht="22.5" hidden="1" customHeight="1">
      <c r="AJ255" s="20" t="s">
        <v>65</v>
      </c>
      <c r="AK255" s="21">
        <v>2.0</v>
      </c>
      <c r="AL255" s="20" t="s">
        <v>4</v>
      </c>
      <c r="AM255" s="20" t="s">
        <v>49</v>
      </c>
      <c r="AN255" s="21">
        <v>131972.0</v>
      </c>
      <c r="AO255" s="21">
        <v>10.0</v>
      </c>
      <c r="AP255" s="20">
        <v>194645.0</v>
      </c>
      <c r="AQ255" s="20">
        <v>689.74</v>
      </c>
    </row>
    <row r="256" ht="22.5" hidden="1" customHeight="1">
      <c r="AJ256" s="20" t="s">
        <v>65</v>
      </c>
      <c r="AK256" s="21">
        <v>2.0</v>
      </c>
      <c r="AL256" s="20" t="s">
        <v>5</v>
      </c>
      <c r="AM256" s="20" t="s">
        <v>50</v>
      </c>
      <c r="AN256" s="21">
        <v>17284.0</v>
      </c>
      <c r="AO256" s="21">
        <v>20.0</v>
      </c>
      <c r="AP256" s="20">
        <v>194365.0</v>
      </c>
      <c r="AQ256" s="20">
        <v>691.44</v>
      </c>
    </row>
    <row r="257" ht="22.5" hidden="1" customHeight="1">
      <c r="AJ257" s="20" t="s">
        <v>65</v>
      </c>
      <c r="AK257" s="21">
        <v>2.0</v>
      </c>
      <c r="AL257" s="20" t="s">
        <v>4</v>
      </c>
      <c r="AM257" s="20" t="s">
        <v>50</v>
      </c>
      <c r="AN257" s="21">
        <v>2948.0</v>
      </c>
      <c r="AO257" s="21">
        <v>10.0</v>
      </c>
      <c r="AP257" s="20">
        <v>194365.0</v>
      </c>
      <c r="AQ257" s="20">
        <v>693.73</v>
      </c>
    </row>
    <row r="258" ht="22.5" hidden="1" customHeight="1">
      <c r="AJ258" s="20" t="s">
        <v>65</v>
      </c>
      <c r="AK258" s="21">
        <v>2.0</v>
      </c>
      <c r="AL258" s="20" t="s">
        <v>2</v>
      </c>
      <c r="AM258" s="20" t="s">
        <v>50</v>
      </c>
      <c r="AN258" s="21">
        <v>4996.0</v>
      </c>
      <c r="AO258" s="21">
        <v>10.0</v>
      </c>
      <c r="AP258" s="20">
        <v>194365.0</v>
      </c>
      <c r="AQ258" s="20">
        <v>693.87</v>
      </c>
    </row>
    <row r="259" ht="22.5" hidden="1" customHeight="1">
      <c r="AJ259" s="20" t="s">
        <v>65</v>
      </c>
      <c r="AK259" s="21">
        <v>2.0</v>
      </c>
      <c r="AL259" s="20" t="s">
        <v>5</v>
      </c>
      <c r="AM259" s="20" t="s">
        <v>49</v>
      </c>
      <c r="AN259" s="21">
        <v>131972.0</v>
      </c>
      <c r="AO259" s="21">
        <v>20.0</v>
      </c>
      <c r="AP259" s="20">
        <v>194645.0</v>
      </c>
      <c r="AQ259" s="20">
        <v>696.1</v>
      </c>
    </row>
    <row r="260" ht="22.5" hidden="1" customHeight="1">
      <c r="AJ260" s="20" t="s">
        <v>65</v>
      </c>
      <c r="AK260" s="21">
        <v>2.0</v>
      </c>
      <c r="AL260" s="20" t="s">
        <v>4</v>
      </c>
      <c r="AM260" s="20" t="s">
        <v>56</v>
      </c>
      <c r="AN260" s="21">
        <v>2948.0</v>
      </c>
      <c r="AO260" s="21">
        <v>10.0</v>
      </c>
      <c r="AP260" s="20">
        <v>194438.0</v>
      </c>
      <c r="AQ260" s="20">
        <v>697.13</v>
      </c>
    </row>
    <row r="261" ht="22.5" hidden="1" customHeight="1">
      <c r="AJ261" s="20" t="s">
        <v>65</v>
      </c>
      <c r="AK261" s="21">
        <v>2.0</v>
      </c>
      <c r="AL261" s="20" t="s">
        <v>5</v>
      </c>
      <c r="AM261" s="20" t="s">
        <v>50</v>
      </c>
      <c r="AN261" s="21">
        <v>1156.0</v>
      </c>
      <c r="AO261" s="21">
        <v>20.0</v>
      </c>
      <c r="AP261" s="20">
        <v>194365.0</v>
      </c>
      <c r="AQ261" s="20">
        <v>697.19</v>
      </c>
    </row>
    <row r="262" ht="22.5" hidden="1" customHeight="1">
      <c r="AJ262" s="20" t="s">
        <v>65</v>
      </c>
      <c r="AK262" s="21">
        <v>2.0</v>
      </c>
      <c r="AL262" s="20" t="s">
        <v>4</v>
      </c>
      <c r="AM262" s="20" t="s">
        <v>50</v>
      </c>
      <c r="AN262" s="21">
        <v>33668.0</v>
      </c>
      <c r="AO262" s="21">
        <v>10.0</v>
      </c>
      <c r="AP262" s="20">
        <v>194365.0</v>
      </c>
      <c r="AQ262" s="20">
        <v>697.46</v>
      </c>
    </row>
    <row r="263" ht="22.5" hidden="1" customHeight="1">
      <c r="AJ263" s="20" t="s">
        <v>65</v>
      </c>
      <c r="AK263" s="21">
        <v>2.0</v>
      </c>
      <c r="AL263" s="20" t="s">
        <v>4</v>
      </c>
      <c r="AM263" s="20" t="s">
        <v>50</v>
      </c>
      <c r="AN263" s="21">
        <v>9092.0</v>
      </c>
      <c r="AO263" s="21">
        <v>10.0</v>
      </c>
      <c r="AP263" s="20">
        <v>194365.0</v>
      </c>
      <c r="AQ263" s="20">
        <v>697.48</v>
      </c>
    </row>
    <row r="264" ht="22.5" hidden="1" customHeight="1">
      <c r="AJ264" s="20" t="s">
        <v>65</v>
      </c>
      <c r="AK264" s="21">
        <v>2.0</v>
      </c>
      <c r="AL264" s="20" t="s">
        <v>5</v>
      </c>
      <c r="AM264" s="20" t="s">
        <v>50</v>
      </c>
      <c r="AN264" s="21">
        <v>131972.0</v>
      </c>
      <c r="AO264" s="21">
        <v>20.0</v>
      </c>
      <c r="AP264" s="20">
        <v>194365.0</v>
      </c>
      <c r="AQ264" s="20">
        <v>698.11</v>
      </c>
    </row>
    <row r="265" ht="22.5" hidden="1" customHeight="1">
      <c r="AJ265" s="20" t="s">
        <v>65</v>
      </c>
      <c r="AK265" s="21">
        <v>2.0</v>
      </c>
      <c r="AL265" s="20" t="s">
        <v>4</v>
      </c>
      <c r="AM265" s="20" t="s">
        <v>51</v>
      </c>
      <c r="AN265" s="21">
        <v>131972.0</v>
      </c>
      <c r="AO265" s="21">
        <v>10.0</v>
      </c>
      <c r="AP265" s="20">
        <v>178397.0</v>
      </c>
      <c r="AQ265" s="20">
        <v>698.26</v>
      </c>
    </row>
    <row r="266" ht="22.5" hidden="1" customHeight="1">
      <c r="AJ266" s="20" t="s">
        <v>65</v>
      </c>
      <c r="AK266" s="21">
        <v>2.0</v>
      </c>
      <c r="AL266" s="20" t="s">
        <v>5</v>
      </c>
      <c r="AM266" s="20" t="s">
        <v>50</v>
      </c>
      <c r="AN266" s="21">
        <v>1412.0</v>
      </c>
      <c r="AO266" s="21">
        <v>20.0</v>
      </c>
      <c r="AP266" s="20">
        <v>194365.0</v>
      </c>
      <c r="AQ266" s="20">
        <v>698.67</v>
      </c>
    </row>
    <row r="267" ht="22.5" hidden="1" customHeight="1">
      <c r="AJ267" s="20" t="s">
        <v>65</v>
      </c>
      <c r="AK267" s="21">
        <v>2.0</v>
      </c>
      <c r="AL267" s="20" t="s">
        <v>5</v>
      </c>
      <c r="AM267" s="20" t="s">
        <v>50</v>
      </c>
      <c r="AN267" s="21">
        <v>4996.0</v>
      </c>
      <c r="AO267" s="21">
        <v>20.0</v>
      </c>
      <c r="AP267" s="20">
        <v>194365.0</v>
      </c>
      <c r="AQ267" s="20">
        <v>699.72</v>
      </c>
    </row>
    <row r="268" ht="22.5" hidden="1" customHeight="1">
      <c r="AJ268" s="20" t="s">
        <v>65</v>
      </c>
      <c r="AK268" s="21">
        <v>2.0</v>
      </c>
      <c r="AL268" s="20" t="s">
        <v>5</v>
      </c>
      <c r="AM268" s="20" t="s">
        <v>51</v>
      </c>
      <c r="AN268" s="21">
        <v>131972.0</v>
      </c>
      <c r="AO268" s="21">
        <v>20.0</v>
      </c>
      <c r="AP268" s="20">
        <v>178397.0</v>
      </c>
      <c r="AQ268" s="20">
        <v>701.37</v>
      </c>
    </row>
    <row r="269" ht="22.5" hidden="1" customHeight="1">
      <c r="AJ269" s="20" t="s">
        <v>65</v>
      </c>
      <c r="AK269" s="21">
        <v>2.0</v>
      </c>
      <c r="AL269" s="20" t="s">
        <v>2</v>
      </c>
      <c r="AM269" s="20" t="s">
        <v>49</v>
      </c>
      <c r="AN269" s="21">
        <v>1924.0</v>
      </c>
      <c r="AO269" s="21">
        <v>10.0</v>
      </c>
      <c r="AP269" s="20">
        <v>194645.0</v>
      </c>
      <c r="AQ269" s="20">
        <v>702.14</v>
      </c>
    </row>
    <row r="270" ht="22.5" hidden="1" customHeight="1">
      <c r="AJ270" s="20" t="s">
        <v>65</v>
      </c>
      <c r="AK270" s="21">
        <v>2.0</v>
      </c>
      <c r="AL270" s="20" t="s">
        <v>2</v>
      </c>
      <c r="AM270" s="20" t="s">
        <v>50</v>
      </c>
      <c r="AN270" s="21">
        <v>2948.0</v>
      </c>
      <c r="AO270" s="21">
        <v>10.0</v>
      </c>
      <c r="AP270" s="20">
        <v>194365.0</v>
      </c>
      <c r="AQ270" s="20">
        <v>703.36</v>
      </c>
    </row>
    <row r="271" ht="22.5" hidden="1" customHeight="1">
      <c r="AJ271" s="20" t="s">
        <v>65</v>
      </c>
      <c r="AK271" s="21">
        <v>2.0</v>
      </c>
      <c r="AL271" s="20" t="s">
        <v>4</v>
      </c>
      <c r="AM271" s="20" t="s">
        <v>50</v>
      </c>
      <c r="AN271" s="21">
        <v>66436.0</v>
      </c>
      <c r="AO271" s="21">
        <v>10.0</v>
      </c>
      <c r="AP271" s="20">
        <v>194365.0</v>
      </c>
      <c r="AQ271" s="20">
        <v>705.75</v>
      </c>
    </row>
    <row r="272" ht="22.5" hidden="1" customHeight="1">
      <c r="AJ272" s="20" t="s">
        <v>65</v>
      </c>
      <c r="AK272" s="21">
        <v>2.0</v>
      </c>
      <c r="AL272" s="20" t="s">
        <v>3</v>
      </c>
      <c r="AM272" s="20" t="s">
        <v>50</v>
      </c>
      <c r="AN272" s="21">
        <v>1924.0</v>
      </c>
      <c r="AO272" s="21">
        <v>20.0</v>
      </c>
      <c r="AP272" s="20">
        <v>194365.0</v>
      </c>
      <c r="AQ272" s="20">
        <v>705.9</v>
      </c>
    </row>
    <row r="273" ht="22.5" hidden="1" customHeight="1">
      <c r="AJ273" s="20" t="s">
        <v>65</v>
      </c>
      <c r="AK273" s="21">
        <v>2.0</v>
      </c>
      <c r="AL273" s="20" t="s">
        <v>5</v>
      </c>
      <c r="AM273" s="20" t="s">
        <v>50</v>
      </c>
      <c r="AN273" s="21">
        <v>1924.0</v>
      </c>
      <c r="AO273" s="21">
        <v>20.0</v>
      </c>
      <c r="AP273" s="20">
        <v>194365.0</v>
      </c>
      <c r="AQ273" s="20">
        <v>706.5</v>
      </c>
    </row>
    <row r="274" ht="22.5" hidden="1" customHeight="1">
      <c r="AJ274" s="20" t="s">
        <v>65</v>
      </c>
      <c r="AK274" s="21">
        <v>2.0</v>
      </c>
      <c r="AL274" s="20" t="s">
        <v>5</v>
      </c>
      <c r="AM274" s="20" t="s">
        <v>50</v>
      </c>
      <c r="AN274" s="21">
        <v>2948.0</v>
      </c>
      <c r="AO274" s="21">
        <v>20.0</v>
      </c>
      <c r="AP274" s="20">
        <v>194365.0</v>
      </c>
      <c r="AQ274" s="20">
        <v>707.37</v>
      </c>
    </row>
    <row r="275" ht="22.5" hidden="1" customHeight="1">
      <c r="AJ275" s="20" t="s">
        <v>65</v>
      </c>
      <c r="AK275" s="21">
        <v>2.0</v>
      </c>
      <c r="AL275" s="20" t="s">
        <v>4</v>
      </c>
      <c r="AM275" s="20" t="s">
        <v>49</v>
      </c>
      <c r="AN275" s="21">
        <v>1924.0</v>
      </c>
      <c r="AO275" s="21">
        <v>10.0</v>
      </c>
      <c r="AP275" s="20">
        <v>194645.0</v>
      </c>
      <c r="AQ275" s="20">
        <v>708.06</v>
      </c>
    </row>
    <row r="276" ht="22.5" hidden="1" customHeight="1">
      <c r="AJ276" s="20" t="s">
        <v>65</v>
      </c>
      <c r="AK276" s="21">
        <v>2.0</v>
      </c>
      <c r="AL276" s="20" t="s">
        <v>5</v>
      </c>
      <c r="AM276" s="20" t="s">
        <v>50</v>
      </c>
      <c r="AN276" s="21">
        <v>66436.0</v>
      </c>
      <c r="AO276" s="21">
        <v>20.0</v>
      </c>
      <c r="AP276" s="20">
        <v>194365.0</v>
      </c>
      <c r="AQ276" s="20">
        <v>710.43</v>
      </c>
    </row>
    <row r="277" ht="22.5" hidden="1" customHeight="1">
      <c r="AJ277" s="20" t="s">
        <v>65</v>
      </c>
      <c r="AK277" s="21">
        <v>2.0</v>
      </c>
      <c r="AL277" s="20" t="s">
        <v>5</v>
      </c>
      <c r="AM277" s="20" t="s">
        <v>50</v>
      </c>
      <c r="AN277" s="21">
        <v>9092.0</v>
      </c>
      <c r="AO277" s="21">
        <v>20.0</v>
      </c>
      <c r="AP277" s="20">
        <v>194365.0</v>
      </c>
      <c r="AQ277" s="20">
        <v>711.06</v>
      </c>
    </row>
    <row r="278" ht="22.5" hidden="1" customHeight="1">
      <c r="AJ278" s="20" t="s">
        <v>65</v>
      </c>
      <c r="AK278" s="21">
        <v>2.0</v>
      </c>
      <c r="AL278" s="20" t="s">
        <v>4</v>
      </c>
      <c r="AM278" s="20" t="s">
        <v>49</v>
      </c>
      <c r="AN278" s="21">
        <v>1156.0</v>
      </c>
      <c r="AO278" s="21">
        <v>10.0</v>
      </c>
      <c r="AP278" s="20">
        <v>194645.0</v>
      </c>
      <c r="AQ278" s="20">
        <v>711.09</v>
      </c>
    </row>
    <row r="279" ht="22.5" hidden="1" customHeight="1">
      <c r="AJ279" s="20" t="s">
        <v>65</v>
      </c>
      <c r="AK279" s="21">
        <v>2.0</v>
      </c>
      <c r="AL279" s="20" t="s">
        <v>3</v>
      </c>
      <c r="AM279" s="20" t="s">
        <v>50</v>
      </c>
      <c r="AN279" s="21">
        <v>4996.0</v>
      </c>
      <c r="AO279" s="21">
        <v>20.0</v>
      </c>
      <c r="AP279" s="20">
        <v>194365.0</v>
      </c>
      <c r="AQ279" s="20">
        <v>711.45</v>
      </c>
    </row>
    <row r="280" ht="22.5" hidden="1" customHeight="1">
      <c r="AJ280" s="20" t="s">
        <v>65</v>
      </c>
      <c r="AK280" s="21">
        <v>2.0</v>
      </c>
      <c r="AL280" s="20" t="s">
        <v>4</v>
      </c>
      <c r="AM280" s="20" t="s">
        <v>49</v>
      </c>
      <c r="AN280" s="21">
        <v>66436.0</v>
      </c>
      <c r="AO280" s="21">
        <v>10.0</v>
      </c>
      <c r="AP280" s="20">
        <v>194645.0</v>
      </c>
      <c r="AQ280" s="20">
        <v>711.74</v>
      </c>
    </row>
    <row r="281" ht="22.5" hidden="1" customHeight="1">
      <c r="AJ281" s="20" t="s">
        <v>65</v>
      </c>
      <c r="AK281" s="21">
        <v>2.0</v>
      </c>
      <c r="AL281" s="20" t="s">
        <v>4</v>
      </c>
      <c r="AM281" s="20" t="s">
        <v>57</v>
      </c>
      <c r="AN281" s="21">
        <v>9092.0</v>
      </c>
      <c r="AO281" s="21">
        <v>10.0</v>
      </c>
      <c r="AP281" s="20">
        <v>211461.0</v>
      </c>
      <c r="AQ281" s="20">
        <v>714.03</v>
      </c>
    </row>
    <row r="282" ht="22.5" hidden="1" customHeight="1">
      <c r="AJ282" s="20" t="s">
        <v>65</v>
      </c>
      <c r="AK282" s="21">
        <v>2.0</v>
      </c>
      <c r="AL282" s="20" t="s">
        <v>4</v>
      </c>
      <c r="AM282" s="20" t="s">
        <v>49</v>
      </c>
      <c r="AN282" s="21">
        <v>33668.0</v>
      </c>
      <c r="AO282" s="21">
        <v>10.0</v>
      </c>
      <c r="AP282" s="20">
        <v>194645.0</v>
      </c>
      <c r="AQ282" s="20">
        <v>714.61</v>
      </c>
    </row>
    <row r="283" ht="22.5" hidden="1" customHeight="1">
      <c r="AJ283" s="20" t="s">
        <v>65</v>
      </c>
      <c r="AK283" s="21">
        <v>2.0</v>
      </c>
      <c r="AL283" s="20" t="s">
        <v>5</v>
      </c>
      <c r="AM283" s="20" t="s">
        <v>50</v>
      </c>
      <c r="AN283" s="21">
        <v>33668.0</v>
      </c>
      <c r="AO283" s="21">
        <v>20.0</v>
      </c>
      <c r="AP283" s="20">
        <v>194365.0</v>
      </c>
      <c r="AQ283" s="20">
        <v>715.02</v>
      </c>
    </row>
    <row r="284" ht="22.5" hidden="1" customHeight="1">
      <c r="AJ284" s="20" t="s">
        <v>65</v>
      </c>
      <c r="AK284" s="21">
        <v>2.0</v>
      </c>
      <c r="AL284" s="20" t="s">
        <v>4</v>
      </c>
      <c r="AM284" s="20" t="s">
        <v>56</v>
      </c>
      <c r="AN284" s="21">
        <v>9092.0</v>
      </c>
      <c r="AO284" s="21">
        <v>10.0</v>
      </c>
      <c r="AP284" s="20">
        <v>194438.0</v>
      </c>
      <c r="AQ284" s="20">
        <v>716.53</v>
      </c>
    </row>
    <row r="285" ht="22.5" hidden="1" customHeight="1">
      <c r="AJ285" s="20" t="s">
        <v>65</v>
      </c>
      <c r="AK285" s="21">
        <v>2.0</v>
      </c>
      <c r="AL285" s="20" t="s">
        <v>4</v>
      </c>
      <c r="AM285" s="20" t="s">
        <v>56</v>
      </c>
      <c r="AN285" s="21">
        <v>17284.0</v>
      </c>
      <c r="AO285" s="21">
        <v>10.0</v>
      </c>
      <c r="AP285" s="20">
        <v>194438.0</v>
      </c>
      <c r="AQ285" s="20">
        <v>716.55</v>
      </c>
    </row>
    <row r="286" ht="22.5" hidden="1" customHeight="1">
      <c r="AJ286" s="20" t="s">
        <v>65</v>
      </c>
      <c r="AK286" s="21">
        <v>2.0</v>
      </c>
      <c r="AL286" s="20" t="s">
        <v>3</v>
      </c>
      <c r="AM286" s="20" t="s">
        <v>50</v>
      </c>
      <c r="AN286" s="21">
        <v>1412.0</v>
      </c>
      <c r="AO286" s="21">
        <v>20.0</v>
      </c>
      <c r="AP286" s="20">
        <v>194365.0</v>
      </c>
      <c r="AQ286" s="20">
        <v>717.61</v>
      </c>
    </row>
    <row r="287" ht="22.5" hidden="1" customHeight="1">
      <c r="AJ287" s="20" t="s">
        <v>65</v>
      </c>
      <c r="AK287" s="21">
        <v>2.0</v>
      </c>
      <c r="AL287" s="20" t="s">
        <v>4</v>
      </c>
      <c r="AM287" s="20" t="s">
        <v>57</v>
      </c>
      <c r="AN287" s="21">
        <v>66436.0</v>
      </c>
      <c r="AO287" s="21">
        <v>10.0</v>
      </c>
      <c r="AP287" s="20">
        <v>211461.0</v>
      </c>
      <c r="AQ287" s="20">
        <v>717.94</v>
      </c>
    </row>
    <row r="288" ht="22.5" hidden="1" customHeight="1">
      <c r="AJ288" s="20" t="s">
        <v>65</v>
      </c>
      <c r="AK288" s="21">
        <v>2.0</v>
      </c>
      <c r="AL288" s="20" t="s">
        <v>3</v>
      </c>
      <c r="AM288" s="20" t="s">
        <v>50</v>
      </c>
      <c r="AN288" s="21">
        <v>2948.0</v>
      </c>
      <c r="AO288" s="21">
        <v>20.0</v>
      </c>
      <c r="AP288" s="20">
        <v>194365.0</v>
      </c>
      <c r="AQ288" s="20">
        <v>719.5</v>
      </c>
    </row>
    <row r="289" ht="22.5" hidden="1" customHeight="1">
      <c r="AJ289" s="20" t="s">
        <v>65</v>
      </c>
      <c r="AK289" s="21">
        <v>2.0</v>
      </c>
      <c r="AL289" s="20" t="s">
        <v>4</v>
      </c>
      <c r="AM289" s="20" t="s">
        <v>55</v>
      </c>
      <c r="AN289" s="21">
        <v>1156.0</v>
      </c>
      <c r="AO289" s="21">
        <v>10.0</v>
      </c>
      <c r="AP289" s="20">
        <v>189005.0</v>
      </c>
      <c r="AQ289" s="20">
        <v>722.01</v>
      </c>
    </row>
    <row r="290" ht="22.5" hidden="1" customHeight="1">
      <c r="AJ290" s="20" t="s">
        <v>65</v>
      </c>
      <c r="AK290" s="21">
        <v>2.0</v>
      </c>
      <c r="AL290" s="20" t="s">
        <v>4</v>
      </c>
      <c r="AM290" s="20" t="s">
        <v>57</v>
      </c>
      <c r="AN290" s="21">
        <v>1412.0</v>
      </c>
      <c r="AO290" s="21">
        <v>10.0</v>
      </c>
      <c r="AP290" s="20">
        <v>211461.0</v>
      </c>
      <c r="AQ290" s="20">
        <v>722.23</v>
      </c>
    </row>
    <row r="291" ht="22.5" hidden="1" customHeight="1">
      <c r="AJ291" s="20" t="s">
        <v>65</v>
      </c>
      <c r="AK291" s="21">
        <v>2.0</v>
      </c>
      <c r="AL291" s="20" t="s">
        <v>4</v>
      </c>
      <c r="AM291" s="20" t="s">
        <v>49</v>
      </c>
      <c r="AN291" s="21">
        <v>17284.0</v>
      </c>
      <c r="AO291" s="21">
        <v>10.0</v>
      </c>
      <c r="AP291" s="20">
        <v>194645.0</v>
      </c>
      <c r="AQ291" s="20">
        <v>722.71</v>
      </c>
    </row>
    <row r="292" ht="22.5" hidden="1" customHeight="1">
      <c r="AJ292" s="20" t="s">
        <v>65</v>
      </c>
      <c r="AK292" s="21">
        <v>2.0</v>
      </c>
      <c r="AL292" s="20" t="s">
        <v>2</v>
      </c>
      <c r="AM292" s="20" t="s">
        <v>48</v>
      </c>
      <c r="AN292" s="21">
        <v>1156.0</v>
      </c>
      <c r="AO292" s="21">
        <v>10.0</v>
      </c>
      <c r="AP292" s="20">
        <v>190342.0</v>
      </c>
      <c r="AQ292" s="20">
        <v>722.97</v>
      </c>
    </row>
    <row r="293" ht="22.5" hidden="1" customHeight="1">
      <c r="AJ293" s="20" t="s">
        <v>65</v>
      </c>
      <c r="AK293" s="21">
        <v>2.0</v>
      </c>
      <c r="AL293" s="20" t="s">
        <v>5</v>
      </c>
      <c r="AM293" s="20" t="s">
        <v>56</v>
      </c>
      <c r="AN293" s="21">
        <v>2948.0</v>
      </c>
      <c r="AO293" s="21">
        <v>20.0</v>
      </c>
      <c r="AP293" s="20">
        <v>194438.0</v>
      </c>
      <c r="AQ293" s="20">
        <v>723.06</v>
      </c>
    </row>
    <row r="294" ht="22.5" hidden="1" customHeight="1">
      <c r="AJ294" s="20" t="s">
        <v>65</v>
      </c>
      <c r="AK294" s="21">
        <v>2.0</v>
      </c>
      <c r="AL294" s="20" t="s">
        <v>5</v>
      </c>
      <c r="AM294" s="20" t="s">
        <v>49</v>
      </c>
      <c r="AN294" s="21">
        <v>17284.0</v>
      </c>
      <c r="AO294" s="21">
        <v>20.0</v>
      </c>
      <c r="AP294" s="20">
        <v>194645.0</v>
      </c>
      <c r="AQ294" s="20">
        <v>723.36</v>
      </c>
    </row>
    <row r="295" ht="22.5" hidden="1" customHeight="1">
      <c r="AJ295" s="20" t="s">
        <v>65</v>
      </c>
      <c r="AK295" s="21">
        <v>2.0</v>
      </c>
      <c r="AL295" s="20" t="s">
        <v>3</v>
      </c>
      <c r="AM295" s="20" t="s">
        <v>56</v>
      </c>
      <c r="AN295" s="21">
        <v>2948.0</v>
      </c>
      <c r="AO295" s="21">
        <v>20.0</v>
      </c>
      <c r="AP295" s="20">
        <v>194438.0</v>
      </c>
      <c r="AQ295" s="20">
        <v>724.4</v>
      </c>
    </row>
    <row r="296" ht="22.5" hidden="1" customHeight="1">
      <c r="AJ296" s="20" t="s">
        <v>65</v>
      </c>
      <c r="AK296" s="21">
        <v>2.0</v>
      </c>
      <c r="AL296" s="20" t="s">
        <v>5</v>
      </c>
      <c r="AM296" s="20" t="s">
        <v>49</v>
      </c>
      <c r="AN296" s="21">
        <v>1156.0</v>
      </c>
      <c r="AO296" s="21">
        <v>20.0</v>
      </c>
      <c r="AP296" s="20">
        <v>194645.0</v>
      </c>
      <c r="AQ296" s="20">
        <v>725.55</v>
      </c>
    </row>
    <row r="297" ht="22.5" hidden="1" customHeight="1">
      <c r="AJ297" s="20" t="s">
        <v>65</v>
      </c>
      <c r="AK297" s="21">
        <v>2.0</v>
      </c>
      <c r="AL297" s="20" t="s">
        <v>4</v>
      </c>
      <c r="AM297" s="20" t="s">
        <v>51</v>
      </c>
      <c r="AN297" s="21">
        <v>66436.0</v>
      </c>
      <c r="AO297" s="21">
        <v>10.0</v>
      </c>
      <c r="AP297" s="20">
        <v>178397.0</v>
      </c>
      <c r="AQ297" s="20">
        <v>725.59</v>
      </c>
    </row>
    <row r="298" ht="22.5" hidden="1" customHeight="1">
      <c r="AJ298" s="20" t="s">
        <v>65</v>
      </c>
      <c r="AK298" s="21">
        <v>2.0</v>
      </c>
      <c r="AL298" s="20" t="s">
        <v>4</v>
      </c>
      <c r="AM298" s="20" t="s">
        <v>57</v>
      </c>
      <c r="AN298" s="21">
        <v>1156.0</v>
      </c>
      <c r="AO298" s="21">
        <v>10.0</v>
      </c>
      <c r="AP298" s="20">
        <v>211461.0</v>
      </c>
      <c r="AQ298" s="20">
        <v>726.07</v>
      </c>
    </row>
    <row r="299" ht="22.5" hidden="1" customHeight="1">
      <c r="AJ299" s="20" t="s">
        <v>65</v>
      </c>
      <c r="AK299" s="21">
        <v>2.0</v>
      </c>
      <c r="AL299" s="20" t="s">
        <v>5</v>
      </c>
      <c r="AM299" s="20" t="s">
        <v>51</v>
      </c>
      <c r="AN299" s="21">
        <v>9092.0</v>
      </c>
      <c r="AO299" s="21">
        <v>20.0</v>
      </c>
      <c r="AP299" s="20">
        <v>178397.0</v>
      </c>
      <c r="AQ299" s="20">
        <v>726.15</v>
      </c>
    </row>
    <row r="300" ht="22.5" hidden="1" customHeight="1">
      <c r="AJ300" s="20" t="s">
        <v>65</v>
      </c>
      <c r="AK300" s="21">
        <v>2.0</v>
      </c>
      <c r="AL300" s="20" t="s">
        <v>2</v>
      </c>
      <c r="AM300" s="20" t="s">
        <v>56</v>
      </c>
      <c r="AN300" s="21">
        <v>1412.0</v>
      </c>
      <c r="AO300" s="21">
        <v>10.0</v>
      </c>
      <c r="AP300" s="20">
        <v>194438.0</v>
      </c>
      <c r="AQ300" s="20">
        <v>726.41</v>
      </c>
    </row>
    <row r="301" ht="22.5" hidden="1" customHeight="1">
      <c r="AJ301" s="20" t="s">
        <v>65</v>
      </c>
      <c r="AK301" s="21">
        <v>2.0</v>
      </c>
      <c r="AL301" s="20" t="s">
        <v>5</v>
      </c>
      <c r="AM301" s="20" t="s">
        <v>49</v>
      </c>
      <c r="AN301" s="21">
        <v>1924.0</v>
      </c>
      <c r="AO301" s="21">
        <v>20.0</v>
      </c>
      <c r="AP301" s="20">
        <v>194645.0</v>
      </c>
      <c r="AQ301" s="20">
        <v>726.53</v>
      </c>
    </row>
    <row r="302" ht="22.5" hidden="1" customHeight="1">
      <c r="AJ302" s="20" t="s">
        <v>65</v>
      </c>
      <c r="AK302" s="21">
        <v>2.0</v>
      </c>
      <c r="AL302" s="20" t="s">
        <v>4</v>
      </c>
      <c r="AM302" s="20" t="s">
        <v>48</v>
      </c>
      <c r="AN302" s="21">
        <v>1156.0</v>
      </c>
      <c r="AO302" s="21">
        <v>10.0</v>
      </c>
      <c r="AP302" s="20">
        <v>190342.0</v>
      </c>
      <c r="AQ302" s="20">
        <v>727.16</v>
      </c>
    </row>
    <row r="303" ht="22.5" hidden="1" customHeight="1">
      <c r="AJ303" s="20" t="s">
        <v>65</v>
      </c>
      <c r="AK303" s="21">
        <v>2.0</v>
      </c>
      <c r="AL303" s="20" t="s">
        <v>4</v>
      </c>
      <c r="AM303" s="20" t="s">
        <v>49</v>
      </c>
      <c r="AN303" s="21">
        <v>4996.0</v>
      </c>
      <c r="AO303" s="21">
        <v>10.0</v>
      </c>
      <c r="AP303" s="20">
        <v>194645.0</v>
      </c>
      <c r="AQ303" s="20">
        <v>727.29</v>
      </c>
    </row>
    <row r="304" ht="22.5" hidden="1" customHeight="1">
      <c r="AJ304" s="20" t="s">
        <v>65</v>
      </c>
      <c r="AK304" s="21">
        <v>2.0</v>
      </c>
      <c r="AL304" s="20" t="s">
        <v>2</v>
      </c>
      <c r="AM304" s="20" t="s">
        <v>56</v>
      </c>
      <c r="AN304" s="21">
        <v>4996.0</v>
      </c>
      <c r="AO304" s="21">
        <v>10.0</v>
      </c>
      <c r="AP304" s="20">
        <v>194438.0</v>
      </c>
      <c r="AQ304" s="20">
        <v>729.12</v>
      </c>
    </row>
    <row r="305" ht="22.5" hidden="1" customHeight="1">
      <c r="AJ305" s="20" t="s">
        <v>65</v>
      </c>
      <c r="AK305" s="21">
        <v>2.0</v>
      </c>
      <c r="AL305" s="20" t="s">
        <v>4</v>
      </c>
      <c r="AM305" s="20" t="s">
        <v>49</v>
      </c>
      <c r="AN305" s="21">
        <v>9092.0</v>
      </c>
      <c r="AO305" s="21">
        <v>10.0</v>
      </c>
      <c r="AP305" s="20">
        <v>194645.0</v>
      </c>
      <c r="AQ305" s="20">
        <v>729.66</v>
      </c>
    </row>
    <row r="306" ht="22.5" hidden="1" customHeight="1">
      <c r="AJ306" s="20" t="s">
        <v>65</v>
      </c>
      <c r="AK306" s="21">
        <v>2.0</v>
      </c>
      <c r="AL306" s="20" t="s">
        <v>4</v>
      </c>
      <c r="AM306" s="20" t="s">
        <v>51</v>
      </c>
      <c r="AN306" s="21">
        <v>2948.0</v>
      </c>
      <c r="AO306" s="21">
        <v>10.0</v>
      </c>
      <c r="AP306" s="20">
        <v>178397.0</v>
      </c>
      <c r="AQ306" s="20">
        <v>729.67</v>
      </c>
    </row>
    <row r="307" ht="22.5" hidden="1" customHeight="1">
      <c r="AJ307" s="20" t="s">
        <v>65</v>
      </c>
      <c r="AK307" s="21">
        <v>2.0</v>
      </c>
      <c r="AL307" s="20" t="s">
        <v>4</v>
      </c>
      <c r="AM307" s="20" t="s">
        <v>56</v>
      </c>
      <c r="AN307" s="21">
        <v>4996.0</v>
      </c>
      <c r="AO307" s="21">
        <v>10.0</v>
      </c>
      <c r="AP307" s="20">
        <v>194438.0</v>
      </c>
      <c r="AQ307" s="20">
        <v>729.8</v>
      </c>
    </row>
    <row r="308" ht="22.5" hidden="1" customHeight="1">
      <c r="AJ308" s="20" t="s">
        <v>65</v>
      </c>
      <c r="AK308" s="21">
        <v>2.0</v>
      </c>
      <c r="AL308" s="20" t="s">
        <v>2</v>
      </c>
      <c r="AM308" s="20" t="s">
        <v>57</v>
      </c>
      <c r="AN308" s="21">
        <v>1156.0</v>
      </c>
      <c r="AO308" s="21">
        <v>10.0</v>
      </c>
      <c r="AP308" s="20">
        <v>211461.0</v>
      </c>
      <c r="AQ308" s="20">
        <v>730.18</v>
      </c>
    </row>
    <row r="309" ht="22.5" hidden="1" customHeight="1">
      <c r="AJ309" s="20" t="s">
        <v>65</v>
      </c>
      <c r="AK309" s="21">
        <v>2.0</v>
      </c>
      <c r="AL309" s="20" t="s">
        <v>2</v>
      </c>
      <c r="AM309" s="20" t="s">
        <v>57</v>
      </c>
      <c r="AN309" s="21">
        <v>1412.0</v>
      </c>
      <c r="AO309" s="21">
        <v>10.0</v>
      </c>
      <c r="AP309" s="20">
        <v>211461.0</v>
      </c>
      <c r="AQ309" s="20">
        <v>730.69</v>
      </c>
    </row>
    <row r="310" ht="22.5" hidden="1" customHeight="1">
      <c r="AJ310" s="20" t="s">
        <v>65</v>
      </c>
      <c r="AK310" s="21">
        <v>2.0</v>
      </c>
      <c r="AL310" s="20" t="s">
        <v>3</v>
      </c>
      <c r="AM310" s="20" t="s">
        <v>49</v>
      </c>
      <c r="AN310" s="21">
        <v>1924.0</v>
      </c>
      <c r="AO310" s="21">
        <v>20.0</v>
      </c>
      <c r="AP310" s="20">
        <v>194645.0</v>
      </c>
      <c r="AQ310" s="20">
        <v>731.07</v>
      </c>
    </row>
    <row r="311" ht="22.5" hidden="1" customHeight="1">
      <c r="AJ311" s="20" t="s">
        <v>65</v>
      </c>
      <c r="AK311" s="21">
        <v>2.0</v>
      </c>
      <c r="AL311" s="20" t="s">
        <v>2</v>
      </c>
      <c r="AM311" s="20" t="s">
        <v>49</v>
      </c>
      <c r="AN311" s="21">
        <v>1156.0</v>
      </c>
      <c r="AO311" s="21">
        <v>10.0</v>
      </c>
      <c r="AP311" s="20">
        <v>194645.0</v>
      </c>
      <c r="AQ311" s="20">
        <v>731.72</v>
      </c>
    </row>
    <row r="312" ht="22.5" hidden="1" customHeight="1">
      <c r="AJ312" s="20" t="s">
        <v>65</v>
      </c>
      <c r="AK312" s="21">
        <v>2.0</v>
      </c>
      <c r="AL312" s="20" t="s">
        <v>4</v>
      </c>
      <c r="AM312" s="20" t="s">
        <v>56</v>
      </c>
      <c r="AN312" s="21">
        <v>1412.0</v>
      </c>
      <c r="AO312" s="21">
        <v>10.0</v>
      </c>
      <c r="AP312" s="20">
        <v>194438.0</v>
      </c>
      <c r="AQ312" s="20">
        <v>732.02</v>
      </c>
    </row>
    <row r="313" ht="22.5" hidden="1" customHeight="1">
      <c r="AJ313" s="20" t="s">
        <v>65</v>
      </c>
      <c r="AK313" s="21">
        <v>2.0</v>
      </c>
      <c r="AL313" s="20" t="s">
        <v>5</v>
      </c>
      <c r="AM313" s="20" t="s">
        <v>57</v>
      </c>
      <c r="AN313" s="21">
        <v>66436.0</v>
      </c>
      <c r="AO313" s="21">
        <v>20.0</v>
      </c>
      <c r="AP313" s="20">
        <v>211461.0</v>
      </c>
      <c r="AQ313" s="20">
        <v>732.04</v>
      </c>
    </row>
    <row r="314" ht="22.5" hidden="1" customHeight="1">
      <c r="AJ314" s="20" t="s">
        <v>65</v>
      </c>
      <c r="AK314" s="21">
        <v>2.0</v>
      </c>
      <c r="AL314" s="20" t="s">
        <v>5</v>
      </c>
      <c r="AM314" s="20" t="s">
        <v>57</v>
      </c>
      <c r="AN314" s="21">
        <v>9092.0</v>
      </c>
      <c r="AO314" s="21">
        <v>20.0</v>
      </c>
      <c r="AP314" s="20">
        <v>211461.0</v>
      </c>
      <c r="AQ314" s="20">
        <v>732.92</v>
      </c>
    </row>
    <row r="315" ht="22.5" hidden="1" customHeight="1">
      <c r="AJ315" s="20" t="s">
        <v>65</v>
      </c>
      <c r="AK315" s="21">
        <v>2.0</v>
      </c>
      <c r="AL315" s="20" t="s">
        <v>4</v>
      </c>
      <c r="AM315" s="20" t="s">
        <v>56</v>
      </c>
      <c r="AN315" s="21">
        <v>131972.0</v>
      </c>
      <c r="AO315" s="21">
        <v>10.0</v>
      </c>
      <c r="AP315" s="20">
        <v>194438.0</v>
      </c>
      <c r="AQ315" s="20">
        <v>732.95</v>
      </c>
    </row>
    <row r="316" ht="22.5" hidden="1" customHeight="1">
      <c r="AJ316" s="20" t="s">
        <v>65</v>
      </c>
      <c r="AK316" s="21">
        <v>2.0</v>
      </c>
      <c r="AL316" s="20" t="s">
        <v>5</v>
      </c>
      <c r="AM316" s="20" t="s">
        <v>48</v>
      </c>
      <c r="AN316" s="21">
        <v>33668.0</v>
      </c>
      <c r="AO316" s="21">
        <v>20.0</v>
      </c>
      <c r="AP316" s="20">
        <v>190342.0</v>
      </c>
      <c r="AQ316" s="20">
        <v>733.03</v>
      </c>
    </row>
    <row r="317" ht="22.5" hidden="1" customHeight="1">
      <c r="AJ317" s="20" t="s">
        <v>65</v>
      </c>
      <c r="AK317" s="21">
        <v>2.0</v>
      </c>
      <c r="AL317" s="20" t="s">
        <v>2</v>
      </c>
      <c r="AM317" s="20" t="s">
        <v>51</v>
      </c>
      <c r="AN317" s="21">
        <v>2948.0</v>
      </c>
      <c r="AO317" s="21">
        <v>10.0</v>
      </c>
      <c r="AP317" s="20">
        <v>178397.0</v>
      </c>
      <c r="AQ317" s="20">
        <v>733.64</v>
      </c>
    </row>
    <row r="318" ht="22.5" hidden="1" customHeight="1">
      <c r="AJ318" s="20" t="s">
        <v>65</v>
      </c>
      <c r="AK318" s="21">
        <v>2.0</v>
      </c>
      <c r="AL318" s="20" t="s">
        <v>4</v>
      </c>
      <c r="AM318" s="20" t="s">
        <v>48</v>
      </c>
      <c r="AN318" s="21">
        <v>1412.0</v>
      </c>
      <c r="AO318" s="21">
        <v>10.0</v>
      </c>
      <c r="AP318" s="20">
        <v>190342.0</v>
      </c>
      <c r="AQ318" s="20">
        <v>734.59</v>
      </c>
    </row>
    <row r="319" ht="22.5" hidden="1" customHeight="1">
      <c r="AJ319" s="20" t="s">
        <v>65</v>
      </c>
      <c r="AK319" s="21">
        <v>2.0</v>
      </c>
      <c r="AL319" s="20" t="s">
        <v>5</v>
      </c>
      <c r="AM319" s="20" t="s">
        <v>57</v>
      </c>
      <c r="AN319" s="21">
        <v>1412.0</v>
      </c>
      <c r="AO319" s="21">
        <v>20.0</v>
      </c>
      <c r="AP319" s="20">
        <v>211461.0</v>
      </c>
      <c r="AQ319" s="20">
        <v>734.78</v>
      </c>
    </row>
    <row r="320" ht="22.5" hidden="1" customHeight="1">
      <c r="AJ320" s="20" t="s">
        <v>65</v>
      </c>
      <c r="AK320" s="21">
        <v>2.0</v>
      </c>
      <c r="AL320" s="20" t="s">
        <v>5</v>
      </c>
      <c r="AM320" s="20" t="s">
        <v>48</v>
      </c>
      <c r="AN320" s="21">
        <v>1156.0</v>
      </c>
      <c r="AO320" s="21">
        <v>20.0</v>
      </c>
      <c r="AP320" s="20">
        <v>190342.0</v>
      </c>
      <c r="AQ320" s="20">
        <v>735.04</v>
      </c>
    </row>
    <row r="321" ht="22.5" hidden="1" customHeight="1">
      <c r="AJ321" s="20" t="s">
        <v>65</v>
      </c>
      <c r="AK321" s="21">
        <v>2.0</v>
      </c>
      <c r="AL321" s="20" t="s">
        <v>2</v>
      </c>
      <c r="AM321" s="20" t="s">
        <v>57</v>
      </c>
      <c r="AN321" s="21">
        <v>4996.0</v>
      </c>
      <c r="AO321" s="21">
        <v>10.0</v>
      </c>
      <c r="AP321" s="20">
        <v>211461.0</v>
      </c>
      <c r="AQ321" s="20">
        <v>735.51</v>
      </c>
    </row>
    <row r="322" ht="22.5" hidden="1" customHeight="1">
      <c r="AJ322" s="20" t="s">
        <v>65</v>
      </c>
      <c r="AK322" s="21">
        <v>2.0</v>
      </c>
      <c r="AL322" s="20" t="s">
        <v>2</v>
      </c>
      <c r="AM322" s="20" t="s">
        <v>49</v>
      </c>
      <c r="AN322" s="21">
        <v>1412.0</v>
      </c>
      <c r="AO322" s="21">
        <v>10.0</v>
      </c>
      <c r="AP322" s="20">
        <v>194645.0</v>
      </c>
      <c r="AQ322" s="20">
        <v>735.69</v>
      </c>
    </row>
    <row r="323" ht="22.5" hidden="1" customHeight="1">
      <c r="AJ323" s="20" t="s">
        <v>65</v>
      </c>
      <c r="AK323" s="21">
        <v>2.0</v>
      </c>
      <c r="AL323" s="20" t="s">
        <v>4</v>
      </c>
      <c r="AM323" s="20" t="s">
        <v>57</v>
      </c>
      <c r="AN323" s="21">
        <v>4996.0</v>
      </c>
      <c r="AO323" s="21">
        <v>10.0</v>
      </c>
      <c r="AP323" s="20">
        <v>211461.0</v>
      </c>
      <c r="AQ323" s="20">
        <v>735.87</v>
      </c>
    </row>
    <row r="324" ht="22.5" hidden="1" customHeight="1">
      <c r="AJ324" s="20" t="s">
        <v>65</v>
      </c>
      <c r="AK324" s="21">
        <v>2.0</v>
      </c>
      <c r="AL324" s="20" t="s">
        <v>4</v>
      </c>
      <c r="AM324" s="20" t="s">
        <v>52</v>
      </c>
      <c r="AN324" s="21">
        <v>131972.0</v>
      </c>
      <c r="AO324" s="21">
        <v>10.0</v>
      </c>
      <c r="AP324" s="20">
        <v>182076.0</v>
      </c>
      <c r="AQ324" s="20">
        <v>737.61</v>
      </c>
    </row>
    <row r="325" ht="22.5" hidden="1" customHeight="1">
      <c r="AJ325" s="20" t="s">
        <v>65</v>
      </c>
      <c r="AK325" s="21">
        <v>2.0</v>
      </c>
      <c r="AL325" s="20" t="s">
        <v>4</v>
      </c>
      <c r="AM325" s="20" t="s">
        <v>52</v>
      </c>
      <c r="AN325" s="21">
        <v>17284.0</v>
      </c>
      <c r="AO325" s="21">
        <v>10.0</v>
      </c>
      <c r="AP325" s="20">
        <v>182076.0</v>
      </c>
      <c r="AQ325" s="20">
        <v>737.91</v>
      </c>
    </row>
    <row r="326" ht="22.5" hidden="1" customHeight="1">
      <c r="AJ326" s="20" t="s">
        <v>65</v>
      </c>
      <c r="AK326" s="21">
        <v>2.0</v>
      </c>
      <c r="AL326" s="20" t="s">
        <v>5</v>
      </c>
      <c r="AM326" s="20" t="s">
        <v>49</v>
      </c>
      <c r="AN326" s="21">
        <v>1412.0</v>
      </c>
      <c r="AO326" s="21">
        <v>20.0</v>
      </c>
      <c r="AP326" s="20">
        <v>194645.0</v>
      </c>
      <c r="AQ326" s="20">
        <v>738.31</v>
      </c>
    </row>
    <row r="327" ht="22.5" hidden="1" customHeight="1">
      <c r="AJ327" s="20" t="s">
        <v>65</v>
      </c>
      <c r="AK327" s="21">
        <v>2.0</v>
      </c>
      <c r="AL327" s="20" t="s">
        <v>2</v>
      </c>
      <c r="AM327" s="20" t="s">
        <v>46</v>
      </c>
      <c r="AN327" s="21">
        <v>1924.0</v>
      </c>
      <c r="AO327" s="21">
        <v>10.0</v>
      </c>
      <c r="AP327" s="20">
        <v>177222.0</v>
      </c>
      <c r="AQ327" s="20">
        <v>738.4</v>
      </c>
    </row>
    <row r="328" ht="22.5" hidden="1" customHeight="1">
      <c r="AJ328" s="20" t="s">
        <v>65</v>
      </c>
      <c r="AK328" s="21">
        <v>2.0</v>
      </c>
      <c r="AL328" s="20" t="s">
        <v>5</v>
      </c>
      <c r="AM328" s="20" t="s">
        <v>56</v>
      </c>
      <c r="AN328" s="21">
        <v>17284.0</v>
      </c>
      <c r="AO328" s="21">
        <v>20.0</v>
      </c>
      <c r="AP328" s="20">
        <v>194438.0</v>
      </c>
      <c r="AQ328" s="20">
        <v>738.56</v>
      </c>
    </row>
    <row r="329" ht="22.5" hidden="1" customHeight="1">
      <c r="AJ329" s="20" t="s">
        <v>65</v>
      </c>
      <c r="AK329" s="21">
        <v>2.0</v>
      </c>
      <c r="AL329" s="20" t="s">
        <v>5</v>
      </c>
      <c r="AM329" s="20" t="s">
        <v>56</v>
      </c>
      <c r="AN329" s="21">
        <v>9092.0</v>
      </c>
      <c r="AO329" s="21">
        <v>20.0</v>
      </c>
      <c r="AP329" s="20">
        <v>194438.0</v>
      </c>
      <c r="AQ329" s="20">
        <v>741.05</v>
      </c>
    </row>
    <row r="330" ht="22.5" hidden="1" customHeight="1">
      <c r="AJ330" s="20" t="s">
        <v>65</v>
      </c>
      <c r="AK330" s="21">
        <v>2.0</v>
      </c>
      <c r="AL330" s="20" t="s">
        <v>4</v>
      </c>
      <c r="AM330" s="20" t="s">
        <v>51</v>
      </c>
      <c r="AN330" s="21">
        <v>1156.0</v>
      </c>
      <c r="AO330" s="21">
        <v>10.0</v>
      </c>
      <c r="AP330" s="20">
        <v>178397.0</v>
      </c>
      <c r="AQ330" s="20">
        <v>741.43</v>
      </c>
    </row>
    <row r="331" ht="22.5" hidden="1" customHeight="1">
      <c r="AJ331" s="20" t="s">
        <v>65</v>
      </c>
      <c r="AK331" s="21">
        <v>2.0</v>
      </c>
      <c r="AL331" s="20" t="s">
        <v>4</v>
      </c>
      <c r="AM331" s="20" t="s">
        <v>49</v>
      </c>
      <c r="AN331" s="21">
        <v>1412.0</v>
      </c>
      <c r="AO331" s="21">
        <v>10.0</v>
      </c>
      <c r="AP331" s="20">
        <v>194645.0</v>
      </c>
      <c r="AQ331" s="20">
        <v>741.52</v>
      </c>
    </row>
    <row r="332" ht="22.5" hidden="1" customHeight="1">
      <c r="AJ332" s="20" t="s">
        <v>65</v>
      </c>
      <c r="AK332" s="21">
        <v>2.0</v>
      </c>
      <c r="AL332" s="20" t="s">
        <v>5</v>
      </c>
      <c r="AM332" s="20" t="s">
        <v>51</v>
      </c>
      <c r="AN332" s="21">
        <v>17284.0</v>
      </c>
      <c r="AO332" s="21">
        <v>20.0</v>
      </c>
      <c r="AP332" s="20">
        <v>178397.0</v>
      </c>
      <c r="AQ332" s="20">
        <v>742.38</v>
      </c>
    </row>
    <row r="333" ht="22.5" hidden="1" customHeight="1">
      <c r="AJ333" s="20" t="s">
        <v>65</v>
      </c>
      <c r="AK333" s="21">
        <v>2.0</v>
      </c>
      <c r="AL333" s="20" t="s">
        <v>4</v>
      </c>
      <c r="AM333" s="20" t="s">
        <v>51</v>
      </c>
      <c r="AN333" s="21">
        <v>17284.0</v>
      </c>
      <c r="AO333" s="21">
        <v>10.0</v>
      </c>
      <c r="AP333" s="20">
        <v>178397.0</v>
      </c>
      <c r="AQ333" s="20">
        <v>742.8</v>
      </c>
    </row>
    <row r="334" ht="22.5" hidden="1" customHeight="1">
      <c r="AJ334" s="20" t="s">
        <v>65</v>
      </c>
      <c r="AK334" s="21">
        <v>2.0</v>
      </c>
      <c r="AL334" s="20" t="s">
        <v>5</v>
      </c>
      <c r="AM334" s="20" t="s">
        <v>49</v>
      </c>
      <c r="AN334" s="21">
        <v>66436.0</v>
      </c>
      <c r="AO334" s="21">
        <v>20.0</v>
      </c>
      <c r="AP334" s="20">
        <v>194645.0</v>
      </c>
      <c r="AQ334" s="20">
        <v>742.8</v>
      </c>
    </row>
    <row r="335" ht="22.5" hidden="1" customHeight="1">
      <c r="AJ335" s="20" t="s">
        <v>65</v>
      </c>
      <c r="AK335" s="21">
        <v>2.0</v>
      </c>
      <c r="AL335" s="20" t="s">
        <v>2</v>
      </c>
      <c r="AM335" s="20" t="s">
        <v>51</v>
      </c>
      <c r="AN335" s="21">
        <v>4996.0</v>
      </c>
      <c r="AO335" s="21">
        <v>10.0</v>
      </c>
      <c r="AP335" s="20">
        <v>178397.0</v>
      </c>
      <c r="AQ335" s="20">
        <v>742.83</v>
      </c>
    </row>
    <row r="336" ht="22.5" hidden="1" customHeight="1">
      <c r="AJ336" s="20" t="s">
        <v>65</v>
      </c>
      <c r="AK336" s="21">
        <v>2.0</v>
      </c>
      <c r="AL336" s="20" t="s">
        <v>4</v>
      </c>
      <c r="AM336" s="20" t="s">
        <v>55</v>
      </c>
      <c r="AN336" s="21">
        <v>66436.0</v>
      </c>
      <c r="AO336" s="21">
        <v>10.0</v>
      </c>
      <c r="AP336" s="20">
        <v>189005.0</v>
      </c>
      <c r="AQ336" s="20">
        <v>743.08</v>
      </c>
    </row>
    <row r="337" ht="22.5" hidden="1" customHeight="1">
      <c r="AJ337" s="20" t="s">
        <v>65</v>
      </c>
      <c r="AK337" s="21">
        <v>2.0</v>
      </c>
      <c r="AL337" s="20" t="s">
        <v>5</v>
      </c>
      <c r="AM337" s="20" t="s">
        <v>56</v>
      </c>
      <c r="AN337" s="21">
        <v>4996.0</v>
      </c>
      <c r="AO337" s="21">
        <v>20.0</v>
      </c>
      <c r="AP337" s="20">
        <v>194438.0</v>
      </c>
      <c r="AQ337" s="20">
        <v>743.08</v>
      </c>
    </row>
    <row r="338" ht="22.5" hidden="1" customHeight="1">
      <c r="AJ338" s="20" t="s">
        <v>65</v>
      </c>
      <c r="AK338" s="21">
        <v>2.0</v>
      </c>
      <c r="AL338" s="20" t="s">
        <v>3</v>
      </c>
      <c r="AM338" s="20" t="s">
        <v>56</v>
      </c>
      <c r="AN338" s="21">
        <v>1412.0</v>
      </c>
      <c r="AO338" s="21">
        <v>20.0</v>
      </c>
      <c r="AP338" s="20">
        <v>194438.0</v>
      </c>
      <c r="AQ338" s="20">
        <v>743.48</v>
      </c>
    </row>
    <row r="339" ht="22.5" hidden="1" customHeight="1">
      <c r="AJ339" s="20" t="s">
        <v>65</v>
      </c>
      <c r="AK339" s="21">
        <v>2.0</v>
      </c>
      <c r="AL339" s="20" t="s">
        <v>4</v>
      </c>
      <c r="AM339" s="20" t="s">
        <v>57</v>
      </c>
      <c r="AN339" s="21">
        <v>1924.0</v>
      </c>
      <c r="AO339" s="21">
        <v>10.0</v>
      </c>
      <c r="AP339" s="20">
        <v>211461.0</v>
      </c>
      <c r="AQ339" s="20">
        <v>743.62</v>
      </c>
    </row>
    <row r="340" ht="22.5" hidden="1" customHeight="1">
      <c r="AJ340" s="20" t="s">
        <v>65</v>
      </c>
      <c r="AK340" s="21">
        <v>2.0</v>
      </c>
      <c r="AL340" s="20" t="s">
        <v>2</v>
      </c>
      <c r="AM340" s="20" t="s">
        <v>48</v>
      </c>
      <c r="AN340" s="21">
        <v>1412.0</v>
      </c>
      <c r="AO340" s="21">
        <v>10.0</v>
      </c>
      <c r="AP340" s="20">
        <v>190342.0</v>
      </c>
      <c r="AQ340" s="20">
        <v>744.03</v>
      </c>
    </row>
    <row r="341" ht="22.5" hidden="1" customHeight="1">
      <c r="AJ341" s="20" t="s">
        <v>65</v>
      </c>
      <c r="AK341" s="21">
        <v>2.0</v>
      </c>
      <c r="AL341" s="20" t="s">
        <v>5</v>
      </c>
      <c r="AM341" s="20" t="s">
        <v>49</v>
      </c>
      <c r="AN341" s="21">
        <v>33668.0</v>
      </c>
      <c r="AO341" s="21">
        <v>20.0</v>
      </c>
      <c r="AP341" s="20">
        <v>194645.0</v>
      </c>
      <c r="AQ341" s="20">
        <v>744.12</v>
      </c>
    </row>
    <row r="342" ht="22.5" hidden="1" customHeight="1">
      <c r="AJ342" s="20" t="s">
        <v>65</v>
      </c>
      <c r="AK342" s="21">
        <v>2.0</v>
      </c>
      <c r="AL342" s="20" t="s">
        <v>4</v>
      </c>
      <c r="AM342" s="20" t="s">
        <v>46</v>
      </c>
      <c r="AN342" s="21">
        <v>1924.0</v>
      </c>
      <c r="AO342" s="21">
        <v>10.0</v>
      </c>
      <c r="AP342" s="20">
        <v>177222.0</v>
      </c>
      <c r="AQ342" s="20">
        <v>744.19</v>
      </c>
    </row>
    <row r="343" ht="22.5" hidden="1" customHeight="1">
      <c r="AJ343" s="20" t="s">
        <v>65</v>
      </c>
      <c r="AK343" s="21">
        <v>2.0</v>
      </c>
      <c r="AL343" s="20" t="s">
        <v>4</v>
      </c>
      <c r="AM343" s="20" t="s">
        <v>57</v>
      </c>
      <c r="AN343" s="21">
        <v>131972.0</v>
      </c>
      <c r="AO343" s="21">
        <v>10.0</v>
      </c>
      <c r="AP343" s="20">
        <v>211461.0</v>
      </c>
      <c r="AQ343" s="20">
        <v>746.79</v>
      </c>
    </row>
    <row r="344" ht="22.5" hidden="1" customHeight="1">
      <c r="AJ344" s="20" t="s">
        <v>65</v>
      </c>
      <c r="AK344" s="21">
        <v>2.0</v>
      </c>
      <c r="AL344" s="20" t="s">
        <v>3</v>
      </c>
      <c r="AM344" s="20" t="s">
        <v>48</v>
      </c>
      <c r="AN344" s="21">
        <v>1156.0</v>
      </c>
      <c r="AO344" s="21">
        <v>20.0</v>
      </c>
      <c r="AP344" s="20">
        <v>190342.0</v>
      </c>
      <c r="AQ344" s="20">
        <v>746.89</v>
      </c>
    </row>
    <row r="345" ht="22.5" hidden="1" customHeight="1">
      <c r="AJ345" s="20" t="s">
        <v>65</v>
      </c>
      <c r="AK345" s="21">
        <v>2.0</v>
      </c>
      <c r="AL345" s="20" t="s">
        <v>3</v>
      </c>
      <c r="AM345" s="20" t="s">
        <v>46</v>
      </c>
      <c r="AN345" s="21">
        <v>1924.0</v>
      </c>
      <c r="AO345" s="21">
        <v>20.0</v>
      </c>
      <c r="AP345" s="20">
        <v>177222.0</v>
      </c>
      <c r="AQ345" s="20">
        <v>747.5</v>
      </c>
    </row>
    <row r="346" ht="22.5" hidden="1" customHeight="1">
      <c r="AJ346" s="20" t="s">
        <v>65</v>
      </c>
      <c r="AK346" s="21">
        <v>2.0</v>
      </c>
      <c r="AL346" s="20" t="s">
        <v>2</v>
      </c>
      <c r="AM346" s="20" t="s">
        <v>51</v>
      </c>
      <c r="AN346" s="21">
        <v>1156.0</v>
      </c>
      <c r="AO346" s="21">
        <v>10.0</v>
      </c>
      <c r="AP346" s="20">
        <v>178397.0</v>
      </c>
      <c r="AQ346" s="20">
        <v>747.55</v>
      </c>
    </row>
    <row r="347" ht="22.5" hidden="1" customHeight="1">
      <c r="AJ347" s="20" t="s">
        <v>65</v>
      </c>
      <c r="AK347" s="21">
        <v>2.0</v>
      </c>
      <c r="AL347" s="20" t="s">
        <v>5</v>
      </c>
      <c r="AM347" s="20" t="s">
        <v>48</v>
      </c>
      <c r="AN347" s="21">
        <v>66436.0</v>
      </c>
      <c r="AO347" s="21">
        <v>20.0</v>
      </c>
      <c r="AP347" s="20">
        <v>190342.0</v>
      </c>
      <c r="AQ347" s="20">
        <v>747.74</v>
      </c>
    </row>
    <row r="348" ht="22.5" hidden="1" customHeight="1">
      <c r="AJ348" s="20" t="s">
        <v>65</v>
      </c>
      <c r="AK348" s="21">
        <v>2.0</v>
      </c>
      <c r="AL348" s="20" t="s">
        <v>4</v>
      </c>
      <c r="AM348" s="20" t="s">
        <v>49</v>
      </c>
      <c r="AN348" s="21">
        <v>2948.0</v>
      </c>
      <c r="AO348" s="21">
        <v>10.0</v>
      </c>
      <c r="AP348" s="20">
        <v>194645.0</v>
      </c>
      <c r="AQ348" s="20">
        <v>748.24</v>
      </c>
    </row>
    <row r="349" ht="22.5" hidden="1" customHeight="1">
      <c r="AJ349" s="20" t="s">
        <v>65</v>
      </c>
      <c r="AK349" s="21">
        <v>2.0</v>
      </c>
      <c r="AL349" s="20" t="s">
        <v>5</v>
      </c>
      <c r="AM349" s="20" t="s">
        <v>57</v>
      </c>
      <c r="AN349" s="21">
        <v>4996.0</v>
      </c>
      <c r="AO349" s="21">
        <v>20.0</v>
      </c>
      <c r="AP349" s="20">
        <v>211461.0</v>
      </c>
      <c r="AQ349" s="20">
        <v>750.0</v>
      </c>
    </row>
    <row r="350" ht="22.5" hidden="1" customHeight="1">
      <c r="AJ350" s="20" t="s">
        <v>65</v>
      </c>
      <c r="AK350" s="21">
        <v>2.0</v>
      </c>
      <c r="AL350" s="20" t="s">
        <v>4</v>
      </c>
      <c r="AM350" s="20" t="s">
        <v>52</v>
      </c>
      <c r="AN350" s="21">
        <v>1156.0</v>
      </c>
      <c r="AO350" s="21">
        <v>10.0</v>
      </c>
      <c r="AP350" s="20">
        <v>182076.0</v>
      </c>
      <c r="AQ350" s="20">
        <v>750.52</v>
      </c>
    </row>
    <row r="351" ht="22.5" hidden="1" customHeight="1">
      <c r="AJ351" s="20" t="s">
        <v>65</v>
      </c>
      <c r="AK351" s="21">
        <v>2.0</v>
      </c>
      <c r="AL351" s="20" t="s">
        <v>4</v>
      </c>
      <c r="AM351" s="20" t="s">
        <v>57</v>
      </c>
      <c r="AN351" s="21">
        <v>17284.0</v>
      </c>
      <c r="AO351" s="21">
        <v>10.0</v>
      </c>
      <c r="AP351" s="20">
        <v>211461.0</v>
      </c>
      <c r="AQ351" s="20">
        <v>750.69</v>
      </c>
    </row>
    <row r="352" ht="22.5" hidden="1" customHeight="1">
      <c r="AJ352" s="20" t="s">
        <v>65</v>
      </c>
      <c r="AK352" s="21">
        <v>2.0</v>
      </c>
      <c r="AL352" s="20" t="s">
        <v>5</v>
      </c>
      <c r="AM352" s="20" t="s">
        <v>56</v>
      </c>
      <c r="AN352" s="21">
        <v>1412.0</v>
      </c>
      <c r="AO352" s="21">
        <v>20.0</v>
      </c>
      <c r="AP352" s="20">
        <v>194438.0</v>
      </c>
      <c r="AQ352" s="20">
        <v>750.99</v>
      </c>
    </row>
    <row r="353" ht="22.5" hidden="1" customHeight="1">
      <c r="AJ353" s="20" t="s">
        <v>65</v>
      </c>
      <c r="AK353" s="21">
        <v>2.0</v>
      </c>
      <c r="AL353" s="20" t="s">
        <v>5</v>
      </c>
      <c r="AM353" s="20" t="s">
        <v>49</v>
      </c>
      <c r="AN353" s="21">
        <v>9092.0</v>
      </c>
      <c r="AO353" s="21">
        <v>20.0</v>
      </c>
      <c r="AP353" s="20">
        <v>194645.0</v>
      </c>
      <c r="AQ353" s="20">
        <v>751.05</v>
      </c>
    </row>
    <row r="354" ht="22.5" hidden="1" customHeight="1">
      <c r="AJ354" s="20" t="s">
        <v>65</v>
      </c>
      <c r="AK354" s="21">
        <v>2.0</v>
      </c>
      <c r="AL354" s="20" t="s">
        <v>4</v>
      </c>
      <c r="AM354" s="20" t="s">
        <v>48</v>
      </c>
      <c r="AN354" s="21">
        <v>131972.0</v>
      </c>
      <c r="AO354" s="21">
        <v>10.0</v>
      </c>
      <c r="AP354" s="20">
        <v>190342.0</v>
      </c>
      <c r="AQ354" s="20">
        <v>751.43</v>
      </c>
    </row>
    <row r="355" ht="22.5" hidden="1" customHeight="1">
      <c r="AJ355" s="20" t="s">
        <v>65</v>
      </c>
      <c r="AK355" s="21">
        <v>2.0</v>
      </c>
      <c r="AL355" s="20" t="s">
        <v>4</v>
      </c>
      <c r="AM355" s="20" t="s">
        <v>51</v>
      </c>
      <c r="AN355" s="21">
        <v>1412.0</v>
      </c>
      <c r="AO355" s="21">
        <v>10.0</v>
      </c>
      <c r="AP355" s="20">
        <v>178397.0</v>
      </c>
      <c r="AQ355" s="20">
        <v>752.15</v>
      </c>
    </row>
    <row r="356" ht="22.5" hidden="1" customHeight="1">
      <c r="AJ356" s="20" t="s">
        <v>65</v>
      </c>
      <c r="AK356" s="21">
        <v>2.0</v>
      </c>
      <c r="AL356" s="20" t="s">
        <v>5</v>
      </c>
      <c r="AM356" s="20" t="s">
        <v>46</v>
      </c>
      <c r="AN356" s="21">
        <v>131972.0</v>
      </c>
      <c r="AO356" s="21">
        <v>20.0</v>
      </c>
      <c r="AP356" s="20">
        <v>177222.0</v>
      </c>
      <c r="AQ356" s="20">
        <v>752.2</v>
      </c>
    </row>
    <row r="357" ht="22.5" hidden="1" customHeight="1">
      <c r="AJ357" s="20" t="s">
        <v>65</v>
      </c>
      <c r="AK357" s="21">
        <v>2.0</v>
      </c>
      <c r="AL357" s="20" t="s">
        <v>3</v>
      </c>
      <c r="AM357" s="20" t="s">
        <v>56</v>
      </c>
      <c r="AN357" s="21">
        <v>4996.0</v>
      </c>
      <c r="AO357" s="21">
        <v>20.0</v>
      </c>
      <c r="AP357" s="20">
        <v>194438.0</v>
      </c>
      <c r="AQ357" s="20">
        <v>752.22</v>
      </c>
    </row>
    <row r="358" ht="22.5" hidden="1" customHeight="1">
      <c r="AJ358" s="20" t="s">
        <v>65</v>
      </c>
      <c r="AK358" s="21">
        <v>2.0</v>
      </c>
      <c r="AL358" s="20" t="s">
        <v>4</v>
      </c>
      <c r="AM358" s="20" t="s">
        <v>46</v>
      </c>
      <c r="AN358" s="21">
        <v>131972.0</v>
      </c>
      <c r="AO358" s="21">
        <v>10.0</v>
      </c>
      <c r="AP358" s="20">
        <v>177222.0</v>
      </c>
      <c r="AQ358" s="20">
        <v>752.57</v>
      </c>
    </row>
    <row r="359" ht="22.5" hidden="1" customHeight="1">
      <c r="AJ359" s="20" t="s">
        <v>65</v>
      </c>
      <c r="AK359" s="21">
        <v>2.0</v>
      </c>
      <c r="AL359" s="20" t="s">
        <v>4</v>
      </c>
      <c r="AM359" s="20" t="s">
        <v>55</v>
      </c>
      <c r="AN359" s="21">
        <v>2948.0</v>
      </c>
      <c r="AO359" s="21">
        <v>10.0</v>
      </c>
      <c r="AP359" s="20">
        <v>189005.0</v>
      </c>
      <c r="AQ359" s="20">
        <v>752.75</v>
      </c>
    </row>
    <row r="360" ht="22.5" hidden="1" customHeight="1">
      <c r="AJ360" s="20" t="s">
        <v>65</v>
      </c>
      <c r="AK360" s="21">
        <v>2.0</v>
      </c>
      <c r="AL360" s="20" t="s">
        <v>5</v>
      </c>
      <c r="AM360" s="20" t="s">
        <v>51</v>
      </c>
      <c r="AN360" s="21">
        <v>66436.0</v>
      </c>
      <c r="AO360" s="21">
        <v>20.0</v>
      </c>
      <c r="AP360" s="20">
        <v>178397.0</v>
      </c>
      <c r="AQ360" s="20">
        <v>753.61</v>
      </c>
    </row>
    <row r="361" ht="22.5" hidden="1" customHeight="1">
      <c r="AJ361" s="20" t="s">
        <v>65</v>
      </c>
      <c r="AK361" s="21">
        <v>2.0</v>
      </c>
      <c r="AL361" s="20" t="s">
        <v>4</v>
      </c>
      <c r="AM361" s="20" t="s">
        <v>55</v>
      </c>
      <c r="AN361" s="21">
        <v>17284.0</v>
      </c>
      <c r="AO361" s="21">
        <v>10.0</v>
      </c>
      <c r="AP361" s="20">
        <v>189005.0</v>
      </c>
      <c r="AQ361" s="20">
        <v>754.3</v>
      </c>
    </row>
    <row r="362" ht="22.5" hidden="1" customHeight="1">
      <c r="AJ362" s="20" t="s">
        <v>65</v>
      </c>
      <c r="AK362" s="21">
        <v>2.0</v>
      </c>
      <c r="AL362" s="20" t="s">
        <v>4</v>
      </c>
      <c r="AM362" s="20" t="s">
        <v>54</v>
      </c>
      <c r="AN362" s="21">
        <v>17284.0</v>
      </c>
      <c r="AO362" s="21">
        <v>10.0</v>
      </c>
      <c r="AP362" s="20">
        <v>179719.0</v>
      </c>
      <c r="AQ362" s="20">
        <v>755.23</v>
      </c>
    </row>
    <row r="363" ht="22.5" hidden="1" customHeight="1">
      <c r="AJ363" s="20" t="s">
        <v>65</v>
      </c>
      <c r="AK363" s="21">
        <v>2.0</v>
      </c>
      <c r="AL363" s="20" t="s">
        <v>5</v>
      </c>
      <c r="AM363" s="20" t="s">
        <v>51</v>
      </c>
      <c r="AN363" s="21">
        <v>1156.0</v>
      </c>
      <c r="AO363" s="21">
        <v>20.0</v>
      </c>
      <c r="AP363" s="20">
        <v>178397.0</v>
      </c>
      <c r="AQ363" s="20">
        <v>755.24</v>
      </c>
    </row>
    <row r="364" ht="22.5" hidden="1" customHeight="1">
      <c r="AJ364" s="20" t="s">
        <v>65</v>
      </c>
      <c r="AK364" s="21">
        <v>2.0</v>
      </c>
      <c r="AL364" s="20" t="s">
        <v>4</v>
      </c>
      <c r="AM364" s="20" t="s">
        <v>55</v>
      </c>
      <c r="AN364" s="21">
        <v>33668.0</v>
      </c>
      <c r="AO364" s="21">
        <v>10.0</v>
      </c>
      <c r="AP364" s="20">
        <v>189005.0</v>
      </c>
      <c r="AQ364" s="20">
        <v>756.29</v>
      </c>
    </row>
    <row r="365" ht="22.5" hidden="1" customHeight="1">
      <c r="AJ365" s="20" t="s">
        <v>65</v>
      </c>
      <c r="AK365" s="21">
        <v>2.0</v>
      </c>
      <c r="AL365" s="20" t="s">
        <v>2</v>
      </c>
      <c r="AM365" s="20" t="s">
        <v>49</v>
      </c>
      <c r="AN365" s="21">
        <v>2948.0</v>
      </c>
      <c r="AO365" s="21">
        <v>10.0</v>
      </c>
      <c r="AP365" s="20">
        <v>194645.0</v>
      </c>
      <c r="AQ365" s="20">
        <v>756.63</v>
      </c>
    </row>
    <row r="366" ht="22.5" hidden="1" customHeight="1">
      <c r="AJ366" s="20" t="s">
        <v>65</v>
      </c>
      <c r="AK366" s="21">
        <v>2.0</v>
      </c>
      <c r="AL366" s="20" t="s">
        <v>5</v>
      </c>
      <c r="AM366" s="20" t="s">
        <v>55</v>
      </c>
      <c r="AN366" s="21">
        <v>66436.0</v>
      </c>
      <c r="AO366" s="21">
        <v>20.0</v>
      </c>
      <c r="AP366" s="20">
        <v>189005.0</v>
      </c>
      <c r="AQ366" s="20">
        <v>756.69</v>
      </c>
    </row>
    <row r="367" ht="22.5" hidden="1" customHeight="1">
      <c r="AJ367" s="20" t="s">
        <v>65</v>
      </c>
      <c r="AK367" s="21">
        <v>2.0</v>
      </c>
      <c r="AL367" s="20" t="s">
        <v>5</v>
      </c>
      <c r="AM367" s="20" t="s">
        <v>57</v>
      </c>
      <c r="AN367" s="21">
        <v>1156.0</v>
      </c>
      <c r="AO367" s="21">
        <v>20.0</v>
      </c>
      <c r="AP367" s="20">
        <v>211461.0</v>
      </c>
      <c r="AQ367" s="20">
        <v>757.17</v>
      </c>
    </row>
    <row r="368" ht="22.5" hidden="1" customHeight="1">
      <c r="AJ368" s="20" t="s">
        <v>65</v>
      </c>
      <c r="AK368" s="21">
        <v>2.0</v>
      </c>
      <c r="AL368" s="20" t="s">
        <v>4</v>
      </c>
      <c r="AM368" s="20" t="s">
        <v>55</v>
      </c>
      <c r="AN368" s="21">
        <v>131972.0</v>
      </c>
      <c r="AO368" s="21">
        <v>10.0</v>
      </c>
      <c r="AP368" s="20">
        <v>189005.0</v>
      </c>
      <c r="AQ368" s="20">
        <v>757.33</v>
      </c>
    </row>
    <row r="369" ht="22.5" hidden="1" customHeight="1">
      <c r="AJ369" s="20" t="s">
        <v>65</v>
      </c>
      <c r="AK369" s="21">
        <v>2.0</v>
      </c>
      <c r="AL369" s="20" t="s">
        <v>2</v>
      </c>
      <c r="AM369" s="20" t="s">
        <v>56</v>
      </c>
      <c r="AN369" s="21">
        <v>1156.0</v>
      </c>
      <c r="AO369" s="21">
        <v>10.0</v>
      </c>
      <c r="AP369" s="20">
        <v>194438.0</v>
      </c>
      <c r="AQ369" s="20">
        <v>757.45</v>
      </c>
    </row>
    <row r="370" ht="22.5" hidden="1" customHeight="1">
      <c r="AJ370" s="20" t="s">
        <v>65</v>
      </c>
      <c r="AK370" s="21">
        <v>2.0</v>
      </c>
      <c r="AL370" s="20" t="s">
        <v>4</v>
      </c>
      <c r="AM370" s="20" t="s">
        <v>56</v>
      </c>
      <c r="AN370" s="21">
        <v>66436.0</v>
      </c>
      <c r="AO370" s="21">
        <v>10.0</v>
      </c>
      <c r="AP370" s="20">
        <v>194438.0</v>
      </c>
      <c r="AQ370" s="20">
        <v>758.15</v>
      </c>
    </row>
    <row r="371" ht="22.5" hidden="1" customHeight="1">
      <c r="AJ371" s="20" t="s">
        <v>65</v>
      </c>
      <c r="AK371" s="21">
        <v>2.0</v>
      </c>
      <c r="AL371" s="20" t="s">
        <v>3</v>
      </c>
      <c r="AM371" s="20" t="s">
        <v>49</v>
      </c>
      <c r="AN371" s="21">
        <v>4996.0</v>
      </c>
      <c r="AO371" s="21">
        <v>20.0</v>
      </c>
      <c r="AP371" s="20">
        <v>194645.0</v>
      </c>
      <c r="AQ371" s="20">
        <v>758.66</v>
      </c>
    </row>
    <row r="372" ht="22.5" hidden="1" customHeight="1">
      <c r="AJ372" s="20" t="s">
        <v>65</v>
      </c>
      <c r="AK372" s="21">
        <v>2.0</v>
      </c>
      <c r="AL372" s="20" t="s">
        <v>2</v>
      </c>
      <c r="AM372" s="20" t="s">
        <v>52</v>
      </c>
      <c r="AN372" s="21">
        <v>1156.0</v>
      </c>
      <c r="AO372" s="21">
        <v>10.0</v>
      </c>
      <c r="AP372" s="20">
        <v>182076.0</v>
      </c>
      <c r="AQ372" s="20">
        <v>759.58</v>
      </c>
    </row>
    <row r="373" ht="22.5" hidden="1" customHeight="1">
      <c r="AJ373" s="20" t="s">
        <v>65</v>
      </c>
      <c r="AK373" s="21">
        <v>2.0</v>
      </c>
      <c r="AL373" s="20" t="s">
        <v>3</v>
      </c>
      <c r="AM373" s="20" t="s">
        <v>57</v>
      </c>
      <c r="AN373" s="21">
        <v>4996.0</v>
      </c>
      <c r="AO373" s="21">
        <v>20.0</v>
      </c>
      <c r="AP373" s="20">
        <v>211461.0</v>
      </c>
      <c r="AQ373" s="20">
        <v>759.79</v>
      </c>
    </row>
    <row r="374" ht="22.5" hidden="1" customHeight="1">
      <c r="AJ374" s="20" t="s">
        <v>65</v>
      </c>
      <c r="AK374" s="21">
        <v>2.0</v>
      </c>
      <c r="AL374" s="20" t="s">
        <v>5</v>
      </c>
      <c r="AM374" s="20" t="s">
        <v>46</v>
      </c>
      <c r="AN374" s="21">
        <v>1924.0</v>
      </c>
      <c r="AO374" s="21">
        <v>20.0</v>
      </c>
      <c r="AP374" s="20">
        <v>177222.0</v>
      </c>
      <c r="AQ374" s="20">
        <v>760.09</v>
      </c>
    </row>
    <row r="375" ht="22.5" hidden="1" customHeight="1">
      <c r="AJ375" s="20" t="s">
        <v>65</v>
      </c>
      <c r="AK375" s="21">
        <v>2.0</v>
      </c>
      <c r="AL375" s="20" t="s">
        <v>5</v>
      </c>
      <c r="AM375" s="20" t="s">
        <v>51</v>
      </c>
      <c r="AN375" s="21">
        <v>2948.0</v>
      </c>
      <c r="AO375" s="21">
        <v>20.0</v>
      </c>
      <c r="AP375" s="20">
        <v>178397.0</v>
      </c>
      <c r="AQ375" s="20">
        <v>760.6</v>
      </c>
    </row>
    <row r="376" ht="22.5" hidden="1" customHeight="1">
      <c r="AJ376" s="20" t="s">
        <v>65</v>
      </c>
      <c r="AK376" s="21">
        <v>2.0</v>
      </c>
      <c r="AL376" s="20" t="s">
        <v>5</v>
      </c>
      <c r="AM376" s="20" t="s">
        <v>48</v>
      </c>
      <c r="AN376" s="21">
        <v>131972.0</v>
      </c>
      <c r="AO376" s="21">
        <v>20.0</v>
      </c>
      <c r="AP376" s="20">
        <v>190342.0</v>
      </c>
      <c r="AQ376" s="20">
        <v>760.83</v>
      </c>
    </row>
    <row r="377" ht="22.5" hidden="1" customHeight="1">
      <c r="AJ377" s="20" t="s">
        <v>65</v>
      </c>
      <c r="AK377" s="21">
        <v>2.0</v>
      </c>
      <c r="AL377" s="20" t="s">
        <v>4</v>
      </c>
      <c r="AM377" s="20" t="s">
        <v>56</v>
      </c>
      <c r="AN377" s="21">
        <v>33668.0</v>
      </c>
      <c r="AO377" s="21">
        <v>10.0</v>
      </c>
      <c r="AP377" s="20">
        <v>194438.0</v>
      </c>
      <c r="AQ377" s="20">
        <v>760.99</v>
      </c>
    </row>
    <row r="378" ht="22.5" hidden="1" customHeight="1">
      <c r="AJ378" s="20" t="s">
        <v>65</v>
      </c>
      <c r="AK378" s="21">
        <v>2.0</v>
      </c>
      <c r="AL378" s="20" t="s">
        <v>3</v>
      </c>
      <c r="AM378" s="20" t="s">
        <v>51</v>
      </c>
      <c r="AN378" s="21">
        <v>4996.0</v>
      </c>
      <c r="AO378" s="21">
        <v>20.0</v>
      </c>
      <c r="AP378" s="20">
        <v>178397.0</v>
      </c>
      <c r="AQ378" s="20">
        <v>761.04</v>
      </c>
    </row>
    <row r="379" ht="22.5" hidden="1" customHeight="1">
      <c r="AJ379" s="20" t="s">
        <v>65</v>
      </c>
      <c r="AK379" s="21">
        <v>2.0</v>
      </c>
      <c r="AL379" s="20" t="s">
        <v>4</v>
      </c>
      <c r="AM379" s="20" t="s">
        <v>48</v>
      </c>
      <c r="AN379" s="21">
        <v>2948.0</v>
      </c>
      <c r="AO379" s="21">
        <v>10.0</v>
      </c>
      <c r="AP379" s="20">
        <v>190342.0</v>
      </c>
      <c r="AQ379" s="20">
        <v>761.27</v>
      </c>
    </row>
    <row r="380" ht="22.5" hidden="1" customHeight="1">
      <c r="AJ380" s="20" t="s">
        <v>65</v>
      </c>
      <c r="AK380" s="21">
        <v>2.0</v>
      </c>
      <c r="AL380" s="20" t="s">
        <v>5</v>
      </c>
      <c r="AM380" s="20" t="s">
        <v>49</v>
      </c>
      <c r="AN380" s="21">
        <v>2948.0</v>
      </c>
      <c r="AO380" s="21">
        <v>20.0</v>
      </c>
      <c r="AP380" s="20">
        <v>194645.0</v>
      </c>
      <c r="AQ380" s="20">
        <v>761.54</v>
      </c>
    </row>
    <row r="381" ht="22.5" hidden="1" customHeight="1">
      <c r="AJ381" s="20" t="s">
        <v>65</v>
      </c>
      <c r="AK381" s="21">
        <v>2.0</v>
      </c>
      <c r="AL381" s="20" t="s">
        <v>2</v>
      </c>
      <c r="AM381" s="20" t="s">
        <v>55</v>
      </c>
      <c r="AN381" s="21">
        <v>2948.0</v>
      </c>
      <c r="AO381" s="21">
        <v>10.0</v>
      </c>
      <c r="AP381" s="20">
        <v>189005.0</v>
      </c>
      <c r="AQ381" s="20">
        <v>761.66</v>
      </c>
    </row>
    <row r="382" ht="22.5" hidden="1" customHeight="1">
      <c r="AJ382" s="20" t="s">
        <v>65</v>
      </c>
      <c r="AK382" s="21">
        <v>2.0</v>
      </c>
      <c r="AL382" s="20" t="s">
        <v>3</v>
      </c>
      <c r="AM382" s="20" t="s">
        <v>51</v>
      </c>
      <c r="AN382" s="21">
        <v>1412.0</v>
      </c>
      <c r="AO382" s="21">
        <v>20.0</v>
      </c>
      <c r="AP382" s="20">
        <v>178397.0</v>
      </c>
      <c r="AQ382" s="20">
        <v>762.33</v>
      </c>
    </row>
    <row r="383" ht="22.5" hidden="1" customHeight="1">
      <c r="AJ383" s="20" t="s">
        <v>65</v>
      </c>
      <c r="AK383" s="21">
        <v>2.0</v>
      </c>
      <c r="AL383" s="20" t="s">
        <v>4</v>
      </c>
      <c r="AM383" s="20" t="s">
        <v>51</v>
      </c>
      <c r="AN383" s="21">
        <v>33668.0</v>
      </c>
      <c r="AO383" s="21">
        <v>10.0</v>
      </c>
      <c r="AP383" s="20">
        <v>178397.0</v>
      </c>
      <c r="AQ383" s="20">
        <v>762.67</v>
      </c>
    </row>
    <row r="384" ht="22.5" hidden="1" customHeight="1">
      <c r="AJ384" s="20" t="s">
        <v>65</v>
      </c>
      <c r="AK384" s="21">
        <v>2.0</v>
      </c>
      <c r="AL384" s="20" t="s">
        <v>4</v>
      </c>
      <c r="AM384" s="20" t="s">
        <v>57</v>
      </c>
      <c r="AN384" s="21">
        <v>2948.0</v>
      </c>
      <c r="AO384" s="21">
        <v>10.0</v>
      </c>
      <c r="AP384" s="20">
        <v>211461.0</v>
      </c>
      <c r="AQ384" s="20">
        <v>763.48</v>
      </c>
    </row>
    <row r="385" ht="22.5" hidden="1" customHeight="1">
      <c r="AJ385" s="20" t="s">
        <v>65</v>
      </c>
      <c r="AK385" s="21">
        <v>2.0</v>
      </c>
      <c r="AL385" s="20" t="s">
        <v>2</v>
      </c>
      <c r="AM385" s="20" t="s">
        <v>55</v>
      </c>
      <c r="AN385" s="21">
        <v>1412.0</v>
      </c>
      <c r="AO385" s="21">
        <v>10.0</v>
      </c>
      <c r="AP385" s="20">
        <v>189005.0</v>
      </c>
      <c r="AQ385" s="20">
        <v>763.67</v>
      </c>
    </row>
    <row r="386" ht="22.5" hidden="1" customHeight="1">
      <c r="AJ386" s="20" t="s">
        <v>65</v>
      </c>
      <c r="AK386" s="21">
        <v>2.0</v>
      </c>
      <c r="AL386" s="20" t="s">
        <v>4</v>
      </c>
      <c r="AM386" s="20" t="s">
        <v>51</v>
      </c>
      <c r="AN386" s="21">
        <v>1924.0</v>
      </c>
      <c r="AO386" s="21">
        <v>10.0</v>
      </c>
      <c r="AP386" s="20">
        <v>178397.0</v>
      </c>
      <c r="AQ386" s="20">
        <v>763.75</v>
      </c>
    </row>
    <row r="387" ht="22.5" hidden="1" customHeight="1">
      <c r="AJ387" s="20" t="s">
        <v>65</v>
      </c>
      <c r="AK387" s="21">
        <v>2.0</v>
      </c>
      <c r="AL387" s="20" t="s">
        <v>2</v>
      </c>
      <c r="AM387" s="20" t="s">
        <v>55</v>
      </c>
      <c r="AN387" s="21">
        <v>1924.0</v>
      </c>
      <c r="AO387" s="21">
        <v>10.0</v>
      </c>
      <c r="AP387" s="20">
        <v>189005.0</v>
      </c>
      <c r="AQ387" s="20">
        <v>763.86</v>
      </c>
    </row>
    <row r="388" ht="22.5" hidden="1" customHeight="1">
      <c r="AJ388" s="20" t="s">
        <v>65</v>
      </c>
      <c r="AK388" s="21">
        <v>2.0</v>
      </c>
      <c r="AL388" s="20" t="s">
        <v>3</v>
      </c>
      <c r="AM388" s="20" t="s">
        <v>57</v>
      </c>
      <c r="AN388" s="21">
        <v>1156.0</v>
      </c>
      <c r="AO388" s="21">
        <v>20.0</v>
      </c>
      <c r="AP388" s="20">
        <v>211461.0</v>
      </c>
      <c r="AQ388" s="20">
        <v>763.96</v>
      </c>
    </row>
    <row r="389" ht="22.5" hidden="1" customHeight="1">
      <c r="AJ389" s="20" t="s">
        <v>65</v>
      </c>
      <c r="AK389" s="21">
        <v>2.0</v>
      </c>
      <c r="AL389" s="20" t="s">
        <v>5</v>
      </c>
      <c r="AM389" s="20" t="s">
        <v>57</v>
      </c>
      <c r="AN389" s="21">
        <v>1924.0</v>
      </c>
      <c r="AO389" s="21">
        <v>20.0</v>
      </c>
      <c r="AP389" s="20">
        <v>211461.0</v>
      </c>
      <c r="AQ389" s="20">
        <v>764.2</v>
      </c>
    </row>
    <row r="390" ht="22.5" hidden="1" customHeight="1">
      <c r="AJ390" s="20" t="s">
        <v>65</v>
      </c>
      <c r="AK390" s="21">
        <v>2.0</v>
      </c>
      <c r="AL390" s="20" t="s">
        <v>5</v>
      </c>
      <c r="AM390" s="20" t="s">
        <v>52</v>
      </c>
      <c r="AN390" s="21">
        <v>1156.0</v>
      </c>
      <c r="AO390" s="21">
        <v>20.0</v>
      </c>
      <c r="AP390" s="20">
        <v>182076.0</v>
      </c>
      <c r="AQ390" s="20">
        <v>765.0</v>
      </c>
    </row>
    <row r="391" ht="22.5" hidden="1" customHeight="1">
      <c r="AJ391" s="20" t="s">
        <v>65</v>
      </c>
      <c r="AK391" s="21">
        <v>2.0</v>
      </c>
      <c r="AL391" s="20" t="s">
        <v>4</v>
      </c>
      <c r="AM391" s="20" t="s">
        <v>46</v>
      </c>
      <c r="AN391" s="21">
        <v>33668.0</v>
      </c>
      <c r="AO391" s="21">
        <v>10.0</v>
      </c>
      <c r="AP391" s="20">
        <v>177222.0</v>
      </c>
      <c r="AQ391" s="20">
        <v>765.03</v>
      </c>
    </row>
    <row r="392" ht="22.5" hidden="1" customHeight="1">
      <c r="AJ392" s="20" t="s">
        <v>65</v>
      </c>
      <c r="AK392" s="21">
        <v>2.0</v>
      </c>
      <c r="AL392" s="20" t="s">
        <v>5</v>
      </c>
      <c r="AM392" s="20" t="s">
        <v>52</v>
      </c>
      <c r="AN392" s="21">
        <v>131972.0</v>
      </c>
      <c r="AO392" s="21">
        <v>20.0</v>
      </c>
      <c r="AP392" s="20">
        <v>182076.0</v>
      </c>
      <c r="AQ392" s="20">
        <v>765.66</v>
      </c>
    </row>
    <row r="393" ht="22.5" hidden="1" customHeight="1">
      <c r="AJ393" s="20" t="s">
        <v>65</v>
      </c>
      <c r="AK393" s="21">
        <v>2.0</v>
      </c>
      <c r="AL393" s="20" t="s">
        <v>3</v>
      </c>
      <c r="AM393" s="20" t="s">
        <v>51</v>
      </c>
      <c r="AN393" s="21">
        <v>1156.0</v>
      </c>
      <c r="AO393" s="21">
        <v>20.0</v>
      </c>
      <c r="AP393" s="20">
        <v>178397.0</v>
      </c>
      <c r="AQ393" s="20">
        <v>766.62</v>
      </c>
    </row>
    <row r="394" ht="22.5" hidden="1" customHeight="1">
      <c r="AJ394" s="20" t="s">
        <v>65</v>
      </c>
      <c r="AK394" s="21">
        <v>2.0</v>
      </c>
      <c r="AL394" s="20" t="s">
        <v>3</v>
      </c>
      <c r="AM394" s="20" t="s">
        <v>57</v>
      </c>
      <c r="AN394" s="21">
        <v>1412.0</v>
      </c>
      <c r="AO394" s="21">
        <v>20.0</v>
      </c>
      <c r="AP394" s="20">
        <v>211461.0</v>
      </c>
      <c r="AQ394" s="20">
        <v>766.99</v>
      </c>
    </row>
    <row r="395" ht="22.5" hidden="1" customHeight="1">
      <c r="AJ395" s="20" t="s">
        <v>65</v>
      </c>
      <c r="AK395" s="21">
        <v>2.0</v>
      </c>
      <c r="AL395" s="20" t="s">
        <v>4</v>
      </c>
      <c r="AM395" s="20" t="s">
        <v>55</v>
      </c>
      <c r="AN395" s="21">
        <v>9092.0</v>
      </c>
      <c r="AO395" s="21">
        <v>10.0</v>
      </c>
      <c r="AP395" s="20">
        <v>189005.0</v>
      </c>
      <c r="AQ395" s="20">
        <v>767.29</v>
      </c>
    </row>
    <row r="396" ht="22.5" hidden="1" customHeight="1">
      <c r="AJ396" s="20" t="s">
        <v>65</v>
      </c>
      <c r="AK396" s="21">
        <v>2.0</v>
      </c>
      <c r="AL396" s="20" t="s">
        <v>3</v>
      </c>
      <c r="AM396" s="20" t="s">
        <v>48</v>
      </c>
      <c r="AN396" s="21">
        <v>1412.0</v>
      </c>
      <c r="AO396" s="21">
        <v>20.0</v>
      </c>
      <c r="AP396" s="20">
        <v>190342.0</v>
      </c>
      <c r="AQ396" s="20">
        <v>768.41</v>
      </c>
    </row>
    <row r="397" ht="22.5" hidden="1" customHeight="1">
      <c r="AJ397" s="20" t="s">
        <v>65</v>
      </c>
      <c r="AK397" s="21">
        <v>2.0</v>
      </c>
      <c r="AL397" s="20" t="s">
        <v>4</v>
      </c>
      <c r="AM397" s="20" t="s">
        <v>46</v>
      </c>
      <c r="AN397" s="21">
        <v>17284.0</v>
      </c>
      <c r="AO397" s="21">
        <v>10.0</v>
      </c>
      <c r="AP397" s="20">
        <v>177222.0</v>
      </c>
      <c r="AQ397" s="20">
        <v>768.71</v>
      </c>
    </row>
    <row r="398" ht="22.5" hidden="1" customHeight="1">
      <c r="AJ398" s="20" t="s">
        <v>65</v>
      </c>
      <c r="AK398" s="21">
        <v>2.0</v>
      </c>
      <c r="AL398" s="20" t="s">
        <v>5</v>
      </c>
      <c r="AM398" s="20" t="s">
        <v>51</v>
      </c>
      <c r="AN398" s="21">
        <v>1412.0</v>
      </c>
      <c r="AO398" s="21">
        <v>20.0</v>
      </c>
      <c r="AP398" s="20">
        <v>178397.0</v>
      </c>
      <c r="AQ398" s="20">
        <v>769.07</v>
      </c>
    </row>
    <row r="399" ht="22.5" hidden="1" customHeight="1">
      <c r="AJ399" s="20" t="s">
        <v>65</v>
      </c>
      <c r="AK399" s="21">
        <v>2.0</v>
      </c>
      <c r="AL399" s="20" t="s">
        <v>4</v>
      </c>
      <c r="AM399" s="20" t="s">
        <v>48</v>
      </c>
      <c r="AN399" s="21">
        <v>17284.0</v>
      </c>
      <c r="AO399" s="21">
        <v>10.0</v>
      </c>
      <c r="AP399" s="20">
        <v>190342.0</v>
      </c>
      <c r="AQ399" s="20">
        <v>769.27</v>
      </c>
    </row>
    <row r="400" ht="22.5" hidden="1" customHeight="1">
      <c r="AJ400" s="20" t="s">
        <v>65</v>
      </c>
      <c r="AK400" s="21">
        <v>2.0</v>
      </c>
      <c r="AL400" s="20" t="s">
        <v>2</v>
      </c>
      <c r="AM400" s="20" t="s">
        <v>46</v>
      </c>
      <c r="AN400" s="21">
        <v>2948.0</v>
      </c>
      <c r="AO400" s="21">
        <v>10.0</v>
      </c>
      <c r="AP400" s="20">
        <v>177222.0</v>
      </c>
      <c r="AQ400" s="20">
        <v>769.73</v>
      </c>
    </row>
    <row r="401" ht="22.5" hidden="1" customHeight="1">
      <c r="AJ401" s="20" t="s">
        <v>65</v>
      </c>
      <c r="AK401" s="21">
        <v>2.0</v>
      </c>
      <c r="AL401" s="20" t="s">
        <v>5</v>
      </c>
      <c r="AM401" s="20" t="s">
        <v>57</v>
      </c>
      <c r="AN401" s="21">
        <v>131972.0</v>
      </c>
      <c r="AO401" s="21">
        <v>20.0</v>
      </c>
      <c r="AP401" s="20">
        <v>211461.0</v>
      </c>
      <c r="AQ401" s="20">
        <v>769.95</v>
      </c>
    </row>
    <row r="402" ht="22.5" hidden="1" customHeight="1">
      <c r="AJ402" s="20" t="s">
        <v>65</v>
      </c>
      <c r="AK402" s="21">
        <v>2.0</v>
      </c>
      <c r="AL402" s="20" t="s">
        <v>2</v>
      </c>
      <c r="AM402" s="20" t="s">
        <v>48</v>
      </c>
      <c r="AN402" s="21">
        <v>4996.0</v>
      </c>
      <c r="AO402" s="21">
        <v>10.0</v>
      </c>
      <c r="AP402" s="20">
        <v>190342.0</v>
      </c>
      <c r="AQ402" s="20">
        <v>770.87</v>
      </c>
    </row>
    <row r="403" ht="22.5" hidden="1" customHeight="1">
      <c r="AJ403" s="20" t="s">
        <v>65</v>
      </c>
      <c r="AK403" s="21">
        <v>2.0</v>
      </c>
      <c r="AL403" s="20" t="s">
        <v>5</v>
      </c>
      <c r="AM403" s="20" t="s">
        <v>52</v>
      </c>
      <c r="AN403" s="21">
        <v>17284.0</v>
      </c>
      <c r="AO403" s="21">
        <v>20.0</v>
      </c>
      <c r="AP403" s="20">
        <v>182076.0</v>
      </c>
      <c r="AQ403" s="20">
        <v>770.88</v>
      </c>
    </row>
    <row r="404" ht="22.5" hidden="1" customHeight="1">
      <c r="AJ404" s="20" t="s">
        <v>65</v>
      </c>
      <c r="AK404" s="21">
        <v>2.0</v>
      </c>
      <c r="AL404" s="20" t="s">
        <v>4</v>
      </c>
      <c r="AM404" s="20" t="s">
        <v>46</v>
      </c>
      <c r="AN404" s="21">
        <v>2948.0</v>
      </c>
      <c r="AO404" s="21">
        <v>10.0</v>
      </c>
      <c r="AP404" s="20">
        <v>177222.0</v>
      </c>
      <c r="AQ404" s="20">
        <v>770.97</v>
      </c>
    </row>
    <row r="405" ht="22.5" hidden="1" customHeight="1">
      <c r="AJ405" s="20" t="s">
        <v>65</v>
      </c>
      <c r="AK405" s="21">
        <v>2.0</v>
      </c>
      <c r="AL405" s="20" t="s">
        <v>2</v>
      </c>
      <c r="AM405" s="20" t="s">
        <v>48</v>
      </c>
      <c r="AN405" s="21">
        <v>1924.0</v>
      </c>
      <c r="AO405" s="21">
        <v>10.0</v>
      </c>
      <c r="AP405" s="20">
        <v>190342.0</v>
      </c>
      <c r="AQ405" s="20">
        <v>771.01</v>
      </c>
    </row>
    <row r="406" ht="22.5" hidden="1" customHeight="1">
      <c r="AJ406" s="20" t="s">
        <v>65</v>
      </c>
      <c r="AK406" s="21">
        <v>2.0</v>
      </c>
      <c r="AL406" s="20" t="s">
        <v>4</v>
      </c>
      <c r="AM406" s="20" t="s">
        <v>47</v>
      </c>
      <c r="AN406" s="21">
        <v>2948.0</v>
      </c>
      <c r="AO406" s="21">
        <v>10.0</v>
      </c>
      <c r="AP406" s="20">
        <v>186436.0</v>
      </c>
      <c r="AQ406" s="20">
        <v>771.25</v>
      </c>
    </row>
    <row r="407" ht="22.5" hidden="1" customHeight="1">
      <c r="AJ407" s="20" t="s">
        <v>65</v>
      </c>
      <c r="AK407" s="21">
        <v>2.0</v>
      </c>
      <c r="AL407" s="20" t="s">
        <v>4</v>
      </c>
      <c r="AM407" s="20" t="s">
        <v>52</v>
      </c>
      <c r="AN407" s="21">
        <v>2948.0</v>
      </c>
      <c r="AO407" s="21">
        <v>10.0</v>
      </c>
      <c r="AP407" s="20">
        <v>182076.0</v>
      </c>
      <c r="AQ407" s="20">
        <v>771.25</v>
      </c>
    </row>
    <row r="408" ht="22.5" hidden="1" customHeight="1">
      <c r="AJ408" s="20" t="s">
        <v>65</v>
      </c>
      <c r="AK408" s="21">
        <v>2.0</v>
      </c>
      <c r="AL408" s="20" t="s">
        <v>2</v>
      </c>
      <c r="AM408" s="20" t="s">
        <v>52</v>
      </c>
      <c r="AN408" s="21">
        <v>2948.0</v>
      </c>
      <c r="AO408" s="21">
        <v>10.0</v>
      </c>
      <c r="AP408" s="20">
        <v>182076.0</v>
      </c>
      <c r="AQ408" s="20">
        <v>771.39</v>
      </c>
    </row>
    <row r="409" ht="22.5" hidden="1" customHeight="1">
      <c r="AJ409" s="20" t="s">
        <v>65</v>
      </c>
      <c r="AK409" s="21">
        <v>2.0</v>
      </c>
      <c r="AL409" s="20" t="s">
        <v>4</v>
      </c>
      <c r="AM409" s="20" t="s">
        <v>56</v>
      </c>
      <c r="AN409" s="21">
        <v>1924.0</v>
      </c>
      <c r="AO409" s="21">
        <v>10.0</v>
      </c>
      <c r="AP409" s="20">
        <v>194438.0</v>
      </c>
      <c r="AQ409" s="20">
        <v>771.65</v>
      </c>
    </row>
    <row r="410" ht="22.5" hidden="1" customHeight="1">
      <c r="AJ410" s="20" t="s">
        <v>65</v>
      </c>
      <c r="AK410" s="21">
        <v>2.0</v>
      </c>
      <c r="AL410" s="20" t="s">
        <v>2</v>
      </c>
      <c r="AM410" s="20" t="s">
        <v>46</v>
      </c>
      <c r="AN410" s="21">
        <v>4996.0</v>
      </c>
      <c r="AO410" s="21">
        <v>10.0</v>
      </c>
      <c r="AP410" s="20">
        <v>177222.0</v>
      </c>
      <c r="AQ410" s="20">
        <v>771.69</v>
      </c>
    </row>
    <row r="411" ht="22.5" hidden="1" customHeight="1">
      <c r="AJ411" s="20" t="s">
        <v>65</v>
      </c>
      <c r="AK411" s="21">
        <v>2.0</v>
      </c>
      <c r="AL411" s="20" t="s">
        <v>3</v>
      </c>
      <c r="AM411" s="20" t="s">
        <v>49</v>
      </c>
      <c r="AN411" s="21">
        <v>2948.0</v>
      </c>
      <c r="AO411" s="21">
        <v>20.0</v>
      </c>
      <c r="AP411" s="20">
        <v>194645.0</v>
      </c>
      <c r="AQ411" s="20">
        <v>772.48</v>
      </c>
    </row>
    <row r="412" ht="22.5" hidden="1" customHeight="1">
      <c r="AJ412" s="20" t="s">
        <v>65</v>
      </c>
      <c r="AK412" s="21">
        <v>2.0</v>
      </c>
      <c r="AL412" s="20" t="s">
        <v>4</v>
      </c>
      <c r="AM412" s="20" t="s">
        <v>54</v>
      </c>
      <c r="AN412" s="21">
        <v>2948.0</v>
      </c>
      <c r="AO412" s="21">
        <v>10.0</v>
      </c>
      <c r="AP412" s="20">
        <v>179699.0</v>
      </c>
      <c r="AQ412" s="20">
        <v>772.61</v>
      </c>
    </row>
    <row r="413" ht="22.5" hidden="1" customHeight="1">
      <c r="AJ413" s="20" t="s">
        <v>65</v>
      </c>
      <c r="AK413" s="21">
        <v>2.0</v>
      </c>
      <c r="AL413" s="20" t="s">
        <v>5</v>
      </c>
      <c r="AM413" s="20" t="s">
        <v>55</v>
      </c>
      <c r="AN413" s="21">
        <v>17284.0</v>
      </c>
      <c r="AO413" s="21">
        <v>20.0</v>
      </c>
      <c r="AP413" s="20">
        <v>189005.0</v>
      </c>
      <c r="AQ413" s="20">
        <v>772.98</v>
      </c>
    </row>
    <row r="414" ht="22.5" hidden="1" customHeight="1">
      <c r="AJ414" s="20" t="s">
        <v>65</v>
      </c>
      <c r="AK414" s="21">
        <v>2.0</v>
      </c>
      <c r="AL414" s="20" t="s">
        <v>4</v>
      </c>
      <c r="AM414" s="20" t="s">
        <v>47</v>
      </c>
      <c r="AN414" s="21">
        <v>9092.0</v>
      </c>
      <c r="AO414" s="21">
        <v>10.0</v>
      </c>
      <c r="AP414" s="20">
        <v>186436.0</v>
      </c>
      <c r="AQ414" s="20">
        <v>773.1</v>
      </c>
    </row>
    <row r="415" ht="22.5" hidden="1" customHeight="1">
      <c r="AJ415" s="20" t="s">
        <v>65</v>
      </c>
      <c r="AK415" s="21">
        <v>2.0</v>
      </c>
      <c r="AL415" s="20" t="s">
        <v>4</v>
      </c>
      <c r="AM415" s="20" t="s">
        <v>46</v>
      </c>
      <c r="AN415" s="21">
        <v>4996.0</v>
      </c>
      <c r="AO415" s="21">
        <v>10.0</v>
      </c>
      <c r="AP415" s="20">
        <v>177222.0</v>
      </c>
      <c r="AQ415" s="20">
        <v>773.19</v>
      </c>
    </row>
    <row r="416" ht="22.5" hidden="1" customHeight="1">
      <c r="AJ416" s="20" t="s">
        <v>65</v>
      </c>
      <c r="AK416" s="21">
        <v>2.0</v>
      </c>
      <c r="AL416" s="20" t="s">
        <v>4</v>
      </c>
      <c r="AM416" s="20" t="s">
        <v>52</v>
      </c>
      <c r="AN416" s="21">
        <v>9092.0</v>
      </c>
      <c r="AO416" s="21">
        <v>10.0</v>
      </c>
      <c r="AP416" s="20">
        <v>182076.0</v>
      </c>
      <c r="AQ416" s="20">
        <v>773.47</v>
      </c>
    </row>
    <row r="417" ht="22.5" hidden="1" customHeight="1">
      <c r="AJ417" s="20" t="s">
        <v>65</v>
      </c>
      <c r="AK417" s="21">
        <v>2.0</v>
      </c>
      <c r="AL417" s="20" t="s">
        <v>5</v>
      </c>
      <c r="AM417" s="20" t="s">
        <v>55</v>
      </c>
      <c r="AN417" s="21">
        <v>1412.0</v>
      </c>
      <c r="AO417" s="21">
        <v>20.0</v>
      </c>
      <c r="AP417" s="20">
        <v>189005.0</v>
      </c>
      <c r="AQ417" s="20">
        <v>773.98</v>
      </c>
    </row>
    <row r="418" ht="22.5" hidden="1" customHeight="1">
      <c r="AJ418" s="20" t="s">
        <v>65</v>
      </c>
      <c r="AK418" s="21">
        <v>2.0</v>
      </c>
      <c r="AL418" s="20" t="s">
        <v>5</v>
      </c>
      <c r="AM418" s="20" t="s">
        <v>57</v>
      </c>
      <c r="AN418" s="21">
        <v>17284.0</v>
      </c>
      <c r="AO418" s="21">
        <v>20.0</v>
      </c>
      <c r="AP418" s="20">
        <v>211461.0</v>
      </c>
      <c r="AQ418" s="20">
        <v>774.25</v>
      </c>
    </row>
    <row r="419" ht="22.5" hidden="1" customHeight="1">
      <c r="AJ419" s="20" t="s">
        <v>65</v>
      </c>
      <c r="AK419" s="21">
        <v>2.0</v>
      </c>
      <c r="AL419" s="20" t="s">
        <v>2</v>
      </c>
      <c r="AM419" s="20" t="s">
        <v>55</v>
      </c>
      <c r="AN419" s="21">
        <v>4996.0</v>
      </c>
      <c r="AO419" s="21">
        <v>10.0</v>
      </c>
      <c r="AP419" s="20">
        <v>189005.0</v>
      </c>
      <c r="AQ419" s="20">
        <v>774.42</v>
      </c>
    </row>
    <row r="420" ht="22.5" hidden="1" customHeight="1">
      <c r="AJ420" s="20" t="s">
        <v>65</v>
      </c>
      <c r="AK420" s="21">
        <v>2.0</v>
      </c>
      <c r="AL420" s="20" t="s">
        <v>4</v>
      </c>
      <c r="AM420" s="20" t="s">
        <v>56</v>
      </c>
      <c r="AN420" s="21">
        <v>1156.0</v>
      </c>
      <c r="AO420" s="21">
        <v>10.0</v>
      </c>
      <c r="AP420" s="20">
        <v>194438.0</v>
      </c>
      <c r="AQ420" s="20">
        <v>775.27</v>
      </c>
    </row>
    <row r="421" ht="22.5" hidden="1" customHeight="1">
      <c r="AJ421" s="20" t="s">
        <v>65</v>
      </c>
      <c r="AK421" s="21">
        <v>2.0</v>
      </c>
      <c r="AL421" s="20" t="s">
        <v>4</v>
      </c>
      <c r="AM421" s="20" t="s">
        <v>47</v>
      </c>
      <c r="AN421" s="21">
        <v>1156.0</v>
      </c>
      <c r="AO421" s="21">
        <v>10.0</v>
      </c>
      <c r="AP421" s="20">
        <v>186436.0</v>
      </c>
      <c r="AQ421" s="20">
        <v>776.27</v>
      </c>
    </row>
    <row r="422" ht="22.5" hidden="1" customHeight="1">
      <c r="AJ422" s="20" t="s">
        <v>65</v>
      </c>
      <c r="AK422" s="21">
        <v>2.0</v>
      </c>
      <c r="AL422" s="20" t="s">
        <v>3</v>
      </c>
      <c r="AM422" s="20" t="s">
        <v>49</v>
      </c>
      <c r="AN422" s="21">
        <v>1412.0</v>
      </c>
      <c r="AO422" s="21">
        <v>20.0</v>
      </c>
      <c r="AP422" s="20">
        <v>194645.0</v>
      </c>
      <c r="AQ422" s="20">
        <v>776.41</v>
      </c>
    </row>
    <row r="423" ht="22.5" hidden="1" customHeight="1">
      <c r="AJ423" s="20" t="s">
        <v>65</v>
      </c>
      <c r="AK423" s="21">
        <v>2.0</v>
      </c>
      <c r="AL423" s="20" t="s">
        <v>4</v>
      </c>
      <c r="AM423" s="20" t="s">
        <v>54</v>
      </c>
      <c r="AN423" s="21">
        <v>9092.0</v>
      </c>
      <c r="AO423" s="21">
        <v>10.0</v>
      </c>
      <c r="AP423" s="20">
        <v>179699.0</v>
      </c>
      <c r="AQ423" s="20">
        <v>776.61</v>
      </c>
    </row>
    <row r="424" ht="22.5" hidden="1" customHeight="1">
      <c r="AJ424" s="20" t="s">
        <v>65</v>
      </c>
      <c r="AK424" s="21">
        <v>2.0</v>
      </c>
      <c r="AL424" s="20" t="s">
        <v>4</v>
      </c>
      <c r="AM424" s="20" t="s">
        <v>55</v>
      </c>
      <c r="AN424" s="21">
        <v>4996.0</v>
      </c>
      <c r="AO424" s="21">
        <v>10.0</v>
      </c>
      <c r="AP424" s="20">
        <v>189005.0</v>
      </c>
      <c r="AQ424" s="20">
        <v>776.63</v>
      </c>
    </row>
    <row r="425" ht="22.5" hidden="1" customHeight="1">
      <c r="AJ425" s="20" t="s">
        <v>65</v>
      </c>
      <c r="AK425" s="21">
        <v>2.0</v>
      </c>
      <c r="AL425" s="20" t="s">
        <v>5</v>
      </c>
      <c r="AM425" s="20" t="s">
        <v>48</v>
      </c>
      <c r="AN425" s="21">
        <v>1412.0</v>
      </c>
      <c r="AO425" s="21">
        <v>20.0</v>
      </c>
      <c r="AP425" s="20">
        <v>190342.0</v>
      </c>
      <c r="AQ425" s="20">
        <v>776.8</v>
      </c>
    </row>
    <row r="426" ht="22.5" hidden="1" customHeight="1">
      <c r="AJ426" s="20" t="s">
        <v>65</v>
      </c>
      <c r="AK426" s="21">
        <v>2.0</v>
      </c>
      <c r="AL426" s="20" t="s">
        <v>5</v>
      </c>
      <c r="AM426" s="20" t="s">
        <v>56</v>
      </c>
      <c r="AN426" s="21">
        <v>33668.0</v>
      </c>
      <c r="AO426" s="21">
        <v>20.0</v>
      </c>
      <c r="AP426" s="20">
        <v>194438.0</v>
      </c>
      <c r="AQ426" s="20">
        <v>777.21</v>
      </c>
    </row>
    <row r="427" ht="22.5" hidden="1" customHeight="1">
      <c r="AJ427" s="20" t="s">
        <v>65</v>
      </c>
      <c r="AK427" s="21">
        <v>2.0</v>
      </c>
      <c r="AL427" s="20" t="s">
        <v>2</v>
      </c>
      <c r="AM427" s="20" t="s">
        <v>47</v>
      </c>
      <c r="AN427" s="21">
        <v>2948.0</v>
      </c>
      <c r="AO427" s="21">
        <v>10.0</v>
      </c>
      <c r="AP427" s="20">
        <v>186436.0</v>
      </c>
      <c r="AQ427" s="20">
        <v>777.24</v>
      </c>
    </row>
    <row r="428" ht="22.5" hidden="1" customHeight="1">
      <c r="AJ428" s="20" t="s">
        <v>65</v>
      </c>
      <c r="AK428" s="21">
        <v>2.0</v>
      </c>
      <c r="AL428" s="20" t="s">
        <v>5</v>
      </c>
      <c r="AM428" s="20" t="s">
        <v>51</v>
      </c>
      <c r="AN428" s="21">
        <v>1924.0</v>
      </c>
      <c r="AO428" s="21">
        <v>20.0</v>
      </c>
      <c r="AP428" s="20">
        <v>178397.0</v>
      </c>
      <c r="AQ428" s="20">
        <v>777.27</v>
      </c>
    </row>
    <row r="429" ht="22.5" hidden="1" customHeight="1">
      <c r="AJ429" s="20" t="s">
        <v>65</v>
      </c>
      <c r="AK429" s="21">
        <v>2.0</v>
      </c>
      <c r="AL429" s="20" t="s">
        <v>5</v>
      </c>
      <c r="AM429" s="20" t="s">
        <v>55</v>
      </c>
      <c r="AN429" s="21">
        <v>131972.0</v>
      </c>
      <c r="AO429" s="21">
        <v>20.0</v>
      </c>
      <c r="AP429" s="20">
        <v>189005.0</v>
      </c>
      <c r="AQ429" s="20">
        <v>777.79</v>
      </c>
    </row>
    <row r="430" ht="22.5" hidden="1" customHeight="1">
      <c r="AJ430" s="20" t="s">
        <v>65</v>
      </c>
      <c r="AK430" s="21">
        <v>2.0</v>
      </c>
      <c r="AL430" s="20" t="s">
        <v>5</v>
      </c>
      <c r="AM430" s="20" t="s">
        <v>47</v>
      </c>
      <c r="AN430" s="21">
        <v>2948.0</v>
      </c>
      <c r="AO430" s="21">
        <v>20.0</v>
      </c>
      <c r="AP430" s="20">
        <v>186436.0</v>
      </c>
      <c r="AQ430" s="20">
        <v>778.2</v>
      </c>
    </row>
    <row r="431" ht="22.5" hidden="1" customHeight="1">
      <c r="AJ431" s="20" t="s">
        <v>65</v>
      </c>
      <c r="AK431" s="21">
        <v>2.0</v>
      </c>
      <c r="AL431" s="20" t="s">
        <v>4</v>
      </c>
      <c r="AM431" s="20" t="s">
        <v>52</v>
      </c>
      <c r="AN431" s="21">
        <v>4996.0</v>
      </c>
      <c r="AO431" s="21">
        <v>10.0</v>
      </c>
      <c r="AP431" s="20">
        <v>182076.0</v>
      </c>
      <c r="AQ431" s="20">
        <v>778.24</v>
      </c>
    </row>
    <row r="432" ht="22.5" hidden="1" customHeight="1">
      <c r="AJ432" s="20" t="s">
        <v>65</v>
      </c>
      <c r="AK432" s="21">
        <v>2.0</v>
      </c>
      <c r="AL432" s="20" t="s">
        <v>4</v>
      </c>
      <c r="AM432" s="20" t="s">
        <v>52</v>
      </c>
      <c r="AN432" s="21">
        <v>1924.0</v>
      </c>
      <c r="AO432" s="21">
        <v>10.0</v>
      </c>
      <c r="AP432" s="20">
        <v>182076.0</v>
      </c>
      <c r="AQ432" s="20">
        <v>779.2</v>
      </c>
    </row>
    <row r="433" ht="22.5" hidden="1" customHeight="1">
      <c r="AJ433" s="20" t="s">
        <v>65</v>
      </c>
      <c r="AK433" s="21">
        <v>2.0</v>
      </c>
      <c r="AL433" s="20" t="s">
        <v>5</v>
      </c>
      <c r="AM433" s="20" t="s">
        <v>57</v>
      </c>
      <c r="AN433" s="21">
        <v>2948.0</v>
      </c>
      <c r="AO433" s="21">
        <v>20.0</v>
      </c>
      <c r="AP433" s="20">
        <v>211461.0</v>
      </c>
      <c r="AQ433" s="20">
        <v>779.98</v>
      </c>
    </row>
    <row r="434" ht="22.5" hidden="1" customHeight="1">
      <c r="AJ434" s="20" t="s">
        <v>65</v>
      </c>
      <c r="AK434" s="21">
        <v>2.0</v>
      </c>
      <c r="AL434" s="20" t="s">
        <v>5</v>
      </c>
      <c r="AM434" s="20" t="s">
        <v>55</v>
      </c>
      <c r="AN434" s="21">
        <v>33668.0</v>
      </c>
      <c r="AO434" s="21">
        <v>20.0</v>
      </c>
      <c r="AP434" s="20">
        <v>189005.0</v>
      </c>
      <c r="AQ434" s="20">
        <v>780.02</v>
      </c>
    </row>
    <row r="435" ht="22.5" hidden="1" customHeight="1">
      <c r="AJ435" s="20" t="s">
        <v>65</v>
      </c>
      <c r="AK435" s="21">
        <v>2.0</v>
      </c>
      <c r="AL435" s="20" t="s">
        <v>2</v>
      </c>
      <c r="AM435" s="20" t="s">
        <v>56</v>
      </c>
      <c r="AN435" s="21">
        <v>1924.0</v>
      </c>
      <c r="AO435" s="21">
        <v>10.0</v>
      </c>
      <c r="AP435" s="20">
        <v>194438.0</v>
      </c>
      <c r="AQ435" s="20">
        <v>780.17</v>
      </c>
    </row>
    <row r="436" ht="22.5" hidden="1" customHeight="1">
      <c r="AJ436" s="20" t="s">
        <v>65</v>
      </c>
      <c r="AK436" s="21">
        <v>2.0</v>
      </c>
      <c r="AL436" s="20" t="s">
        <v>5</v>
      </c>
      <c r="AM436" s="20" t="s">
        <v>51</v>
      </c>
      <c r="AN436" s="21">
        <v>33668.0</v>
      </c>
      <c r="AO436" s="21">
        <v>20.0</v>
      </c>
      <c r="AP436" s="20">
        <v>178397.0</v>
      </c>
      <c r="AQ436" s="20">
        <v>780.24</v>
      </c>
    </row>
    <row r="437" ht="22.5" hidden="1" customHeight="1">
      <c r="AJ437" s="20" t="s">
        <v>65</v>
      </c>
      <c r="AK437" s="21">
        <v>2.0</v>
      </c>
      <c r="AL437" s="20" t="s">
        <v>5</v>
      </c>
      <c r="AM437" s="20" t="s">
        <v>48</v>
      </c>
      <c r="AN437" s="21">
        <v>9092.0</v>
      </c>
      <c r="AO437" s="21">
        <v>20.0</v>
      </c>
      <c r="AP437" s="20">
        <v>190342.0</v>
      </c>
      <c r="AQ437" s="20">
        <v>780.5</v>
      </c>
    </row>
    <row r="438" ht="22.5" hidden="1" customHeight="1">
      <c r="AJ438" s="20" t="s">
        <v>65</v>
      </c>
      <c r="AK438" s="21">
        <v>2.0</v>
      </c>
      <c r="AL438" s="20" t="s">
        <v>5</v>
      </c>
      <c r="AM438" s="20" t="s">
        <v>54</v>
      </c>
      <c r="AN438" s="21">
        <v>9092.0</v>
      </c>
      <c r="AO438" s="21">
        <v>20.0</v>
      </c>
      <c r="AP438" s="20">
        <v>179699.0</v>
      </c>
      <c r="AQ438" s="20">
        <v>780.53</v>
      </c>
    </row>
    <row r="439" ht="22.5" hidden="1" customHeight="1">
      <c r="AJ439" s="20" t="s">
        <v>65</v>
      </c>
      <c r="AK439" s="21">
        <v>2.0</v>
      </c>
      <c r="AL439" s="20" t="s">
        <v>4</v>
      </c>
      <c r="AM439" s="20" t="s">
        <v>48</v>
      </c>
      <c r="AN439" s="21">
        <v>9092.0</v>
      </c>
      <c r="AO439" s="21">
        <v>10.0</v>
      </c>
      <c r="AP439" s="20">
        <v>190342.0</v>
      </c>
      <c r="AQ439" s="20">
        <v>780.77</v>
      </c>
    </row>
    <row r="440" ht="22.5" hidden="1" customHeight="1">
      <c r="AJ440" s="20" t="s">
        <v>65</v>
      </c>
      <c r="AK440" s="21">
        <v>2.0</v>
      </c>
      <c r="AL440" s="20" t="s">
        <v>4</v>
      </c>
      <c r="AM440" s="20" t="s">
        <v>54</v>
      </c>
      <c r="AN440" s="21">
        <v>1156.0</v>
      </c>
      <c r="AO440" s="21">
        <v>10.0</v>
      </c>
      <c r="AP440" s="20">
        <v>179699.0</v>
      </c>
      <c r="AQ440" s="20">
        <v>781.05</v>
      </c>
    </row>
    <row r="441" ht="22.5" hidden="1" customHeight="1">
      <c r="AJ441" s="20" t="s">
        <v>65</v>
      </c>
      <c r="AK441" s="21">
        <v>2.0</v>
      </c>
      <c r="AL441" s="20" t="s">
        <v>3</v>
      </c>
      <c r="AM441" s="20" t="s">
        <v>56</v>
      </c>
      <c r="AN441" s="21">
        <v>1156.0</v>
      </c>
      <c r="AO441" s="21">
        <v>20.0</v>
      </c>
      <c r="AP441" s="20">
        <v>194438.0</v>
      </c>
      <c r="AQ441" s="20">
        <v>781.16</v>
      </c>
    </row>
    <row r="442" ht="22.5" hidden="1" customHeight="1">
      <c r="AJ442" s="20" t="s">
        <v>65</v>
      </c>
      <c r="AK442" s="21">
        <v>2.0</v>
      </c>
      <c r="AL442" s="20" t="s">
        <v>4</v>
      </c>
      <c r="AM442" s="20" t="s">
        <v>48</v>
      </c>
      <c r="AN442" s="21">
        <v>4996.0</v>
      </c>
      <c r="AO442" s="21">
        <v>10.0</v>
      </c>
      <c r="AP442" s="20">
        <v>190342.0</v>
      </c>
      <c r="AQ442" s="20">
        <v>781.38</v>
      </c>
    </row>
    <row r="443" ht="22.5" hidden="1" customHeight="1">
      <c r="AJ443" s="20" t="s">
        <v>65</v>
      </c>
      <c r="AK443" s="21">
        <v>2.0</v>
      </c>
      <c r="AL443" s="20" t="s">
        <v>5</v>
      </c>
      <c r="AM443" s="20" t="s">
        <v>48</v>
      </c>
      <c r="AN443" s="21">
        <v>2948.0</v>
      </c>
      <c r="AO443" s="21">
        <v>20.0</v>
      </c>
      <c r="AP443" s="20">
        <v>190342.0</v>
      </c>
      <c r="AQ443" s="20">
        <v>781.72</v>
      </c>
    </row>
    <row r="444" ht="22.5" hidden="1" customHeight="1">
      <c r="AJ444" s="20" t="s">
        <v>65</v>
      </c>
      <c r="AK444" s="21">
        <v>2.0</v>
      </c>
      <c r="AL444" s="20" t="s">
        <v>5</v>
      </c>
      <c r="AM444" s="20" t="s">
        <v>48</v>
      </c>
      <c r="AN444" s="21">
        <v>4996.0</v>
      </c>
      <c r="AO444" s="21">
        <v>20.0</v>
      </c>
      <c r="AP444" s="20">
        <v>190342.0</v>
      </c>
      <c r="AQ444" s="20">
        <v>782.28</v>
      </c>
    </row>
    <row r="445" ht="22.5" hidden="1" customHeight="1">
      <c r="AJ445" s="20" t="s">
        <v>65</v>
      </c>
      <c r="AK445" s="21">
        <v>2.0</v>
      </c>
      <c r="AL445" s="20" t="s">
        <v>5</v>
      </c>
      <c r="AM445" s="20" t="s">
        <v>48</v>
      </c>
      <c r="AN445" s="21">
        <v>17284.0</v>
      </c>
      <c r="AO445" s="21">
        <v>20.0</v>
      </c>
      <c r="AP445" s="20">
        <v>190342.0</v>
      </c>
      <c r="AQ445" s="20">
        <v>782.91</v>
      </c>
    </row>
    <row r="446" ht="22.5" hidden="1" customHeight="1">
      <c r="AJ446" s="20" t="s">
        <v>65</v>
      </c>
      <c r="AK446" s="21">
        <v>2.0</v>
      </c>
      <c r="AL446" s="20" t="s">
        <v>3</v>
      </c>
      <c r="AM446" s="20" t="s">
        <v>52</v>
      </c>
      <c r="AN446" s="21">
        <v>1156.0</v>
      </c>
      <c r="AO446" s="21">
        <v>20.0</v>
      </c>
      <c r="AP446" s="20">
        <v>182076.0</v>
      </c>
      <c r="AQ446" s="20">
        <v>783.33</v>
      </c>
    </row>
    <row r="447" ht="22.5" hidden="1" customHeight="1">
      <c r="AJ447" s="20" t="s">
        <v>65</v>
      </c>
      <c r="AK447" s="21">
        <v>2.0</v>
      </c>
      <c r="AL447" s="20" t="s">
        <v>3</v>
      </c>
      <c r="AM447" s="20" t="s">
        <v>46</v>
      </c>
      <c r="AN447" s="21">
        <v>2948.0</v>
      </c>
      <c r="AO447" s="21">
        <v>20.0</v>
      </c>
      <c r="AP447" s="20">
        <v>177222.0</v>
      </c>
      <c r="AQ447" s="20">
        <v>783.4</v>
      </c>
    </row>
    <row r="448" ht="22.5" hidden="1" customHeight="1">
      <c r="AJ448" s="20" t="s">
        <v>65</v>
      </c>
      <c r="AK448" s="21">
        <v>2.0</v>
      </c>
      <c r="AL448" s="20" t="s">
        <v>3</v>
      </c>
      <c r="AM448" s="20" t="s">
        <v>55</v>
      </c>
      <c r="AN448" s="21">
        <v>1924.0</v>
      </c>
      <c r="AO448" s="21">
        <v>20.0</v>
      </c>
      <c r="AP448" s="20">
        <v>189005.0</v>
      </c>
      <c r="AQ448" s="20">
        <v>783.8</v>
      </c>
    </row>
    <row r="449" ht="22.5" hidden="1" customHeight="1">
      <c r="AJ449" s="20" t="s">
        <v>65</v>
      </c>
      <c r="AK449" s="21">
        <v>2.0</v>
      </c>
      <c r="AL449" s="20" t="s">
        <v>5</v>
      </c>
      <c r="AM449" s="20" t="s">
        <v>52</v>
      </c>
      <c r="AN449" s="21">
        <v>33668.0</v>
      </c>
      <c r="AO449" s="21">
        <v>20.0</v>
      </c>
      <c r="AP449" s="20">
        <v>182076.0</v>
      </c>
      <c r="AQ449" s="20">
        <v>783.84</v>
      </c>
    </row>
    <row r="450" ht="22.5" hidden="1" customHeight="1">
      <c r="AJ450" s="20" t="s">
        <v>65</v>
      </c>
      <c r="AK450" s="21">
        <v>2.0</v>
      </c>
      <c r="AL450" s="20" t="s">
        <v>5</v>
      </c>
      <c r="AM450" s="20" t="s">
        <v>55</v>
      </c>
      <c r="AN450" s="21">
        <v>9092.0</v>
      </c>
      <c r="AO450" s="21">
        <v>20.0</v>
      </c>
      <c r="AP450" s="20">
        <v>189005.0</v>
      </c>
      <c r="AQ450" s="20">
        <v>783.94</v>
      </c>
    </row>
    <row r="451" ht="22.5" hidden="1" customHeight="1">
      <c r="AJ451" s="20" t="s">
        <v>65</v>
      </c>
      <c r="AK451" s="21">
        <v>2.0</v>
      </c>
      <c r="AL451" s="20" t="s">
        <v>5</v>
      </c>
      <c r="AM451" s="20" t="s">
        <v>56</v>
      </c>
      <c r="AN451" s="21">
        <v>1156.0</v>
      </c>
      <c r="AO451" s="21">
        <v>20.0</v>
      </c>
      <c r="AP451" s="20">
        <v>194438.0</v>
      </c>
      <c r="AQ451" s="20">
        <v>784.06</v>
      </c>
    </row>
    <row r="452" ht="22.5" hidden="1" customHeight="1">
      <c r="AJ452" s="20" t="s">
        <v>65</v>
      </c>
      <c r="AK452" s="21">
        <v>2.0</v>
      </c>
      <c r="AL452" s="20" t="s">
        <v>5</v>
      </c>
      <c r="AM452" s="20" t="s">
        <v>57</v>
      </c>
      <c r="AN452" s="21">
        <v>33668.0</v>
      </c>
      <c r="AO452" s="21">
        <v>20.0</v>
      </c>
      <c r="AP452" s="20">
        <v>211461.0</v>
      </c>
      <c r="AQ452" s="20">
        <v>784.72</v>
      </c>
    </row>
    <row r="453" ht="22.5" hidden="1" customHeight="1">
      <c r="AJ453" s="20" t="s">
        <v>65</v>
      </c>
      <c r="AK453" s="21">
        <v>2.0</v>
      </c>
      <c r="AL453" s="20" t="s">
        <v>4</v>
      </c>
      <c r="AM453" s="20" t="s">
        <v>54</v>
      </c>
      <c r="AN453" s="21">
        <v>1412.0</v>
      </c>
      <c r="AO453" s="21">
        <v>10.0</v>
      </c>
      <c r="AP453" s="20">
        <v>179699.0</v>
      </c>
      <c r="AQ453" s="20">
        <v>784.81</v>
      </c>
    </row>
    <row r="454" ht="22.5" hidden="1" customHeight="1">
      <c r="AJ454" s="20" t="s">
        <v>65</v>
      </c>
      <c r="AK454" s="21">
        <v>2.0</v>
      </c>
      <c r="AL454" s="20" t="s">
        <v>2</v>
      </c>
      <c r="AM454" s="20" t="s">
        <v>47</v>
      </c>
      <c r="AN454" s="21">
        <v>1156.0</v>
      </c>
      <c r="AO454" s="21">
        <v>10.0</v>
      </c>
      <c r="AP454" s="20">
        <v>186436.0</v>
      </c>
      <c r="AQ454" s="20">
        <v>784.99</v>
      </c>
    </row>
    <row r="455" ht="22.5" hidden="1" customHeight="1">
      <c r="AJ455" s="20" t="s">
        <v>65</v>
      </c>
      <c r="AK455" s="21">
        <v>2.0</v>
      </c>
      <c r="AL455" s="20" t="s">
        <v>5</v>
      </c>
      <c r="AM455" s="20" t="s">
        <v>54</v>
      </c>
      <c r="AN455" s="21">
        <v>17284.0</v>
      </c>
      <c r="AO455" s="21">
        <v>20.0</v>
      </c>
      <c r="AP455" s="20">
        <v>179719.0</v>
      </c>
      <c r="AQ455" s="20">
        <v>785.06</v>
      </c>
    </row>
    <row r="456" ht="22.5" hidden="1" customHeight="1">
      <c r="AJ456" s="20" t="s">
        <v>65</v>
      </c>
      <c r="AK456" s="21">
        <v>2.0</v>
      </c>
      <c r="AL456" s="20" t="s">
        <v>2</v>
      </c>
      <c r="AM456" s="20" t="s">
        <v>48</v>
      </c>
      <c r="AN456" s="21">
        <v>2948.0</v>
      </c>
      <c r="AO456" s="21">
        <v>10.0</v>
      </c>
      <c r="AP456" s="20">
        <v>190342.0</v>
      </c>
      <c r="AQ456" s="20">
        <v>785.1</v>
      </c>
    </row>
    <row r="457" ht="22.5" hidden="1" customHeight="1">
      <c r="AJ457" s="20" t="s">
        <v>65</v>
      </c>
      <c r="AK457" s="21">
        <v>2.0</v>
      </c>
      <c r="AL457" s="20" t="s">
        <v>4</v>
      </c>
      <c r="AM457" s="20" t="s">
        <v>54</v>
      </c>
      <c r="AN457" s="21">
        <v>131972.0</v>
      </c>
      <c r="AO457" s="21">
        <v>10.0</v>
      </c>
      <c r="AP457" s="20">
        <v>179699.0</v>
      </c>
      <c r="AQ457" s="20">
        <v>785.3</v>
      </c>
    </row>
    <row r="458" ht="22.5" hidden="1" customHeight="1">
      <c r="AJ458" s="20" t="s">
        <v>65</v>
      </c>
      <c r="AK458" s="21">
        <v>2.0</v>
      </c>
      <c r="AL458" s="20" t="s">
        <v>3</v>
      </c>
      <c r="AM458" s="20" t="s">
        <v>55</v>
      </c>
      <c r="AN458" s="21">
        <v>1156.0</v>
      </c>
      <c r="AO458" s="21">
        <v>20.0</v>
      </c>
      <c r="AP458" s="20">
        <v>189005.0</v>
      </c>
      <c r="AQ458" s="20">
        <v>785.37</v>
      </c>
    </row>
    <row r="459" ht="22.5" hidden="1" customHeight="1">
      <c r="AJ459" s="20" t="s">
        <v>65</v>
      </c>
      <c r="AK459" s="21">
        <v>2.0</v>
      </c>
      <c r="AL459" s="20" t="s">
        <v>3</v>
      </c>
      <c r="AM459" s="20" t="s">
        <v>55</v>
      </c>
      <c r="AN459" s="21">
        <v>1412.0</v>
      </c>
      <c r="AO459" s="21">
        <v>20.0</v>
      </c>
      <c r="AP459" s="20">
        <v>189005.0</v>
      </c>
      <c r="AQ459" s="20">
        <v>786.06</v>
      </c>
    </row>
    <row r="460" ht="22.5" hidden="1" customHeight="1">
      <c r="AJ460" s="20" t="s">
        <v>65</v>
      </c>
      <c r="AK460" s="21">
        <v>2.0</v>
      </c>
      <c r="AL460" s="20" t="s">
        <v>2</v>
      </c>
      <c r="AM460" s="20" t="s">
        <v>54</v>
      </c>
      <c r="AN460" s="21">
        <v>1156.0</v>
      </c>
      <c r="AO460" s="21">
        <v>10.0</v>
      </c>
      <c r="AP460" s="20">
        <v>179699.0</v>
      </c>
      <c r="AQ460" s="20">
        <v>786.34</v>
      </c>
    </row>
    <row r="461" ht="22.5" hidden="1" customHeight="1">
      <c r="AJ461" s="20" t="s">
        <v>65</v>
      </c>
      <c r="AK461" s="21">
        <v>2.0</v>
      </c>
      <c r="AL461" s="20" t="s">
        <v>5</v>
      </c>
      <c r="AM461" s="20" t="s">
        <v>46</v>
      </c>
      <c r="AN461" s="21">
        <v>33668.0</v>
      </c>
      <c r="AO461" s="21">
        <v>20.0</v>
      </c>
      <c r="AP461" s="20">
        <v>177222.0</v>
      </c>
      <c r="AQ461" s="20">
        <v>786.38</v>
      </c>
    </row>
    <row r="462" ht="22.5" hidden="1" customHeight="1">
      <c r="AJ462" s="20" t="s">
        <v>65</v>
      </c>
      <c r="AK462" s="21">
        <v>2.0</v>
      </c>
      <c r="AL462" s="20" t="s">
        <v>5</v>
      </c>
      <c r="AM462" s="20" t="s">
        <v>55</v>
      </c>
      <c r="AN462" s="21">
        <v>4996.0</v>
      </c>
      <c r="AO462" s="21">
        <v>20.0</v>
      </c>
      <c r="AP462" s="20">
        <v>189005.0</v>
      </c>
      <c r="AQ462" s="20">
        <v>786.41</v>
      </c>
    </row>
    <row r="463" ht="22.5" hidden="1" customHeight="1">
      <c r="AJ463" s="20" t="s">
        <v>65</v>
      </c>
      <c r="AK463" s="21">
        <v>2.0</v>
      </c>
      <c r="AL463" s="20" t="s">
        <v>4</v>
      </c>
      <c r="AM463" s="20" t="s">
        <v>48</v>
      </c>
      <c r="AN463" s="21">
        <v>1924.0</v>
      </c>
      <c r="AO463" s="21">
        <v>10.0</v>
      </c>
      <c r="AP463" s="20">
        <v>190342.0</v>
      </c>
      <c r="AQ463" s="20">
        <v>787.11</v>
      </c>
    </row>
    <row r="464" ht="22.5" hidden="1" customHeight="1">
      <c r="AJ464" s="20" t="s">
        <v>65</v>
      </c>
      <c r="AK464" s="21">
        <v>2.0</v>
      </c>
      <c r="AL464" s="20" t="s">
        <v>3</v>
      </c>
      <c r="AM464" s="20" t="s">
        <v>55</v>
      </c>
      <c r="AN464" s="21">
        <v>2948.0</v>
      </c>
      <c r="AO464" s="21">
        <v>20.0</v>
      </c>
      <c r="AP464" s="20">
        <v>189005.0</v>
      </c>
      <c r="AQ464" s="20">
        <v>787.31</v>
      </c>
    </row>
    <row r="465" ht="22.5" hidden="1" customHeight="1">
      <c r="AJ465" s="20" t="s">
        <v>65</v>
      </c>
      <c r="AK465" s="21">
        <v>2.0</v>
      </c>
      <c r="AL465" s="20" t="s">
        <v>4</v>
      </c>
      <c r="AM465" s="20" t="s">
        <v>46</v>
      </c>
      <c r="AN465" s="21">
        <v>1156.0</v>
      </c>
      <c r="AO465" s="21">
        <v>10.0</v>
      </c>
      <c r="AP465" s="20">
        <v>177222.0</v>
      </c>
      <c r="AQ465" s="20">
        <v>787.4</v>
      </c>
    </row>
    <row r="466" ht="22.5" hidden="1" customHeight="1">
      <c r="AJ466" s="20" t="s">
        <v>65</v>
      </c>
      <c r="AK466" s="21">
        <v>2.0</v>
      </c>
      <c r="AL466" s="20" t="s">
        <v>3</v>
      </c>
      <c r="AM466" s="20" t="s">
        <v>48</v>
      </c>
      <c r="AN466" s="21">
        <v>2948.0</v>
      </c>
      <c r="AO466" s="21">
        <v>20.0</v>
      </c>
      <c r="AP466" s="20">
        <v>190342.0</v>
      </c>
      <c r="AQ466" s="20">
        <v>787.78</v>
      </c>
    </row>
    <row r="467" ht="22.5" hidden="1" customHeight="1">
      <c r="AJ467" s="20" t="s">
        <v>65</v>
      </c>
      <c r="AK467" s="21">
        <v>2.0</v>
      </c>
      <c r="AL467" s="20" t="s">
        <v>4</v>
      </c>
      <c r="AM467" s="20" t="s">
        <v>47</v>
      </c>
      <c r="AN467" s="21">
        <v>17284.0</v>
      </c>
      <c r="AO467" s="21">
        <v>10.0</v>
      </c>
      <c r="AP467" s="20">
        <v>186436.0</v>
      </c>
      <c r="AQ467" s="20">
        <v>788.06</v>
      </c>
    </row>
    <row r="468" ht="22.5" hidden="1" customHeight="1">
      <c r="AJ468" s="20" t="s">
        <v>65</v>
      </c>
      <c r="AK468" s="21">
        <v>2.0</v>
      </c>
      <c r="AL468" s="20" t="s">
        <v>3</v>
      </c>
      <c r="AM468" s="20" t="s">
        <v>56</v>
      </c>
      <c r="AN468" s="21">
        <v>1924.0</v>
      </c>
      <c r="AO468" s="21">
        <v>20.0</v>
      </c>
      <c r="AP468" s="20">
        <v>194438.0</v>
      </c>
      <c r="AQ468" s="20">
        <v>788.09</v>
      </c>
    </row>
    <row r="469" ht="22.5" hidden="1" customHeight="1">
      <c r="AJ469" s="20" t="s">
        <v>65</v>
      </c>
      <c r="AK469" s="21">
        <v>2.0</v>
      </c>
      <c r="AL469" s="20" t="s">
        <v>3</v>
      </c>
      <c r="AM469" s="20" t="s">
        <v>55</v>
      </c>
      <c r="AN469" s="21">
        <v>4996.0</v>
      </c>
      <c r="AO469" s="21">
        <v>20.0</v>
      </c>
      <c r="AP469" s="20">
        <v>189005.0</v>
      </c>
      <c r="AQ469" s="20">
        <v>788.35</v>
      </c>
    </row>
    <row r="470" ht="22.5" hidden="1" customHeight="1">
      <c r="AJ470" s="20" t="s">
        <v>65</v>
      </c>
      <c r="AK470" s="21">
        <v>2.0</v>
      </c>
      <c r="AL470" s="20" t="s">
        <v>5</v>
      </c>
      <c r="AM470" s="20" t="s">
        <v>46</v>
      </c>
      <c r="AN470" s="21">
        <v>17284.0</v>
      </c>
      <c r="AO470" s="21">
        <v>20.0</v>
      </c>
      <c r="AP470" s="20">
        <v>177222.0</v>
      </c>
      <c r="AQ470" s="20">
        <v>788.39</v>
      </c>
    </row>
    <row r="471" ht="22.5" hidden="1" customHeight="1">
      <c r="AJ471" s="20" t="s">
        <v>65</v>
      </c>
      <c r="AK471" s="21">
        <v>2.0</v>
      </c>
      <c r="AL471" s="20" t="s">
        <v>5</v>
      </c>
      <c r="AM471" s="20" t="s">
        <v>55</v>
      </c>
      <c r="AN471" s="21">
        <v>2948.0</v>
      </c>
      <c r="AO471" s="21">
        <v>20.0</v>
      </c>
      <c r="AP471" s="20">
        <v>189005.0</v>
      </c>
      <c r="AQ471" s="20">
        <v>788.81</v>
      </c>
    </row>
    <row r="472" ht="22.5" hidden="1" customHeight="1">
      <c r="AJ472" s="20" t="s">
        <v>65</v>
      </c>
      <c r="AK472" s="21">
        <v>2.0</v>
      </c>
      <c r="AL472" s="20" t="s">
        <v>5</v>
      </c>
      <c r="AM472" s="20" t="s">
        <v>46</v>
      </c>
      <c r="AN472" s="21">
        <v>4996.0</v>
      </c>
      <c r="AO472" s="21">
        <v>20.0</v>
      </c>
      <c r="AP472" s="20">
        <v>177222.0</v>
      </c>
      <c r="AQ472" s="20">
        <v>788.84</v>
      </c>
    </row>
    <row r="473" ht="22.5" hidden="1" customHeight="1">
      <c r="AJ473" s="20" t="s">
        <v>65</v>
      </c>
      <c r="AK473" s="21">
        <v>2.0</v>
      </c>
      <c r="AL473" s="20" t="s">
        <v>4</v>
      </c>
      <c r="AM473" s="20" t="s">
        <v>47</v>
      </c>
      <c r="AN473" s="21">
        <v>1412.0</v>
      </c>
      <c r="AO473" s="21">
        <v>10.0</v>
      </c>
      <c r="AP473" s="20">
        <v>186436.0</v>
      </c>
      <c r="AQ473" s="20">
        <v>789.7</v>
      </c>
    </row>
    <row r="474" ht="22.5" hidden="1" customHeight="1">
      <c r="AJ474" s="20" t="s">
        <v>65</v>
      </c>
      <c r="AK474" s="21">
        <v>2.0</v>
      </c>
      <c r="AL474" s="20" t="s">
        <v>2</v>
      </c>
      <c r="AM474" s="20" t="s">
        <v>52</v>
      </c>
      <c r="AN474" s="21">
        <v>1924.0</v>
      </c>
      <c r="AO474" s="21">
        <v>10.0</v>
      </c>
      <c r="AP474" s="20">
        <v>182076.0</v>
      </c>
      <c r="AQ474" s="20">
        <v>791.98</v>
      </c>
    </row>
    <row r="475" ht="22.5" hidden="1" customHeight="1">
      <c r="AJ475" s="20" t="s">
        <v>65</v>
      </c>
      <c r="AK475" s="21">
        <v>2.0</v>
      </c>
      <c r="AL475" s="20" t="s">
        <v>2</v>
      </c>
      <c r="AM475" s="20" t="s">
        <v>54</v>
      </c>
      <c r="AN475" s="21">
        <v>2948.0</v>
      </c>
      <c r="AO475" s="21">
        <v>10.0</v>
      </c>
      <c r="AP475" s="20">
        <v>179699.0</v>
      </c>
      <c r="AQ475" s="20">
        <v>792.09</v>
      </c>
    </row>
    <row r="476" ht="22.5" hidden="1" customHeight="1">
      <c r="AJ476" s="20" t="s">
        <v>65</v>
      </c>
      <c r="AK476" s="21">
        <v>2.0</v>
      </c>
      <c r="AL476" s="20" t="s">
        <v>4</v>
      </c>
      <c r="AM476" s="20" t="s">
        <v>46</v>
      </c>
      <c r="AN476" s="21">
        <v>1412.0</v>
      </c>
      <c r="AO476" s="21">
        <v>10.0</v>
      </c>
      <c r="AP476" s="20">
        <v>177222.0</v>
      </c>
      <c r="AQ476" s="20">
        <v>792.2</v>
      </c>
    </row>
    <row r="477" ht="22.5" hidden="1" customHeight="1">
      <c r="AJ477" s="20" t="s">
        <v>65</v>
      </c>
      <c r="AK477" s="21">
        <v>2.0</v>
      </c>
      <c r="AL477" s="20" t="s">
        <v>5</v>
      </c>
      <c r="AM477" s="20" t="s">
        <v>55</v>
      </c>
      <c r="AN477" s="21">
        <v>1924.0</v>
      </c>
      <c r="AO477" s="21">
        <v>20.0</v>
      </c>
      <c r="AP477" s="20">
        <v>189005.0</v>
      </c>
      <c r="AQ477" s="20">
        <v>792.61</v>
      </c>
    </row>
    <row r="478" ht="22.5" hidden="1" customHeight="1">
      <c r="AJ478" s="20" t="s">
        <v>65</v>
      </c>
      <c r="AK478" s="21">
        <v>2.0</v>
      </c>
      <c r="AL478" s="20" t="s">
        <v>2</v>
      </c>
      <c r="AM478" s="20" t="s">
        <v>47</v>
      </c>
      <c r="AN478" s="21">
        <v>1412.0</v>
      </c>
      <c r="AO478" s="21">
        <v>10.0</v>
      </c>
      <c r="AP478" s="20">
        <v>186436.0</v>
      </c>
      <c r="AQ478" s="20">
        <v>792.76</v>
      </c>
    </row>
    <row r="479" ht="22.5" hidden="1" customHeight="1">
      <c r="AJ479" s="20" t="s">
        <v>65</v>
      </c>
      <c r="AK479" s="21">
        <v>2.0</v>
      </c>
      <c r="AL479" s="20" t="s">
        <v>5</v>
      </c>
      <c r="AM479" s="20" t="s">
        <v>54</v>
      </c>
      <c r="AN479" s="21">
        <v>1412.0</v>
      </c>
      <c r="AO479" s="21">
        <v>20.0</v>
      </c>
      <c r="AP479" s="20">
        <v>179699.0</v>
      </c>
      <c r="AQ479" s="20">
        <v>793.47</v>
      </c>
    </row>
    <row r="480" ht="22.5" hidden="1" customHeight="1">
      <c r="AJ480" s="20" t="s">
        <v>65</v>
      </c>
      <c r="AK480" s="21">
        <v>2.0</v>
      </c>
      <c r="AL480" s="20" t="s">
        <v>5</v>
      </c>
      <c r="AM480" s="20" t="s">
        <v>52</v>
      </c>
      <c r="AN480" s="21">
        <v>9092.0</v>
      </c>
      <c r="AO480" s="21">
        <v>20.0</v>
      </c>
      <c r="AP480" s="20">
        <v>182076.0</v>
      </c>
      <c r="AQ480" s="20">
        <v>793.72</v>
      </c>
    </row>
    <row r="481" ht="22.5" hidden="1" customHeight="1">
      <c r="AJ481" s="20" t="s">
        <v>65</v>
      </c>
      <c r="AK481" s="21">
        <v>2.0</v>
      </c>
      <c r="AL481" s="20" t="s">
        <v>5</v>
      </c>
      <c r="AM481" s="20" t="s">
        <v>48</v>
      </c>
      <c r="AN481" s="21">
        <v>1924.0</v>
      </c>
      <c r="AO481" s="21">
        <v>20.0</v>
      </c>
      <c r="AP481" s="20">
        <v>190342.0</v>
      </c>
      <c r="AQ481" s="20">
        <v>794.43</v>
      </c>
    </row>
    <row r="482" ht="22.5" hidden="1" customHeight="1">
      <c r="AJ482" s="20" t="s">
        <v>65</v>
      </c>
      <c r="AK482" s="21">
        <v>2.0</v>
      </c>
      <c r="AL482" s="20" t="s">
        <v>2</v>
      </c>
      <c r="AM482" s="20" t="s">
        <v>47</v>
      </c>
      <c r="AN482" s="21">
        <v>1924.0</v>
      </c>
      <c r="AO482" s="21">
        <v>10.0</v>
      </c>
      <c r="AP482" s="20">
        <v>186436.0</v>
      </c>
      <c r="AQ482" s="20">
        <v>794.73</v>
      </c>
    </row>
    <row r="483" ht="22.5" hidden="1" customHeight="1">
      <c r="AJ483" s="20" t="s">
        <v>65</v>
      </c>
      <c r="AK483" s="21">
        <v>2.0</v>
      </c>
      <c r="AL483" s="20" t="s">
        <v>4</v>
      </c>
      <c r="AM483" s="20" t="s">
        <v>46</v>
      </c>
      <c r="AN483" s="21">
        <v>66436.0</v>
      </c>
      <c r="AO483" s="21">
        <v>10.0</v>
      </c>
      <c r="AP483" s="20">
        <v>177222.0</v>
      </c>
      <c r="AQ483" s="20">
        <v>795.24</v>
      </c>
    </row>
    <row r="484" ht="22.5" hidden="1" customHeight="1">
      <c r="AJ484" s="20" t="s">
        <v>65</v>
      </c>
      <c r="AK484" s="21">
        <v>2.0</v>
      </c>
      <c r="AL484" s="20" t="s">
        <v>3</v>
      </c>
      <c r="AM484" s="20" t="s">
        <v>48</v>
      </c>
      <c r="AN484" s="21">
        <v>1924.0</v>
      </c>
      <c r="AO484" s="21">
        <v>20.0</v>
      </c>
      <c r="AP484" s="20">
        <v>190342.0</v>
      </c>
      <c r="AQ484" s="20">
        <v>795.25</v>
      </c>
    </row>
    <row r="485" ht="22.5" hidden="1" customHeight="1">
      <c r="AJ485" s="20" t="s">
        <v>65</v>
      </c>
      <c r="AK485" s="21">
        <v>2.0</v>
      </c>
      <c r="AL485" s="20" t="s">
        <v>5</v>
      </c>
      <c r="AM485" s="20" t="s">
        <v>46</v>
      </c>
      <c r="AN485" s="21">
        <v>2948.0</v>
      </c>
      <c r="AO485" s="21">
        <v>20.0</v>
      </c>
      <c r="AP485" s="20">
        <v>177222.0</v>
      </c>
      <c r="AQ485" s="20">
        <v>796.56</v>
      </c>
    </row>
    <row r="486" ht="22.5" hidden="1" customHeight="1">
      <c r="AJ486" s="20" t="s">
        <v>65</v>
      </c>
      <c r="AK486" s="21">
        <v>2.0</v>
      </c>
      <c r="AL486" s="20" t="s">
        <v>5</v>
      </c>
      <c r="AM486" s="20" t="s">
        <v>47</v>
      </c>
      <c r="AN486" s="21">
        <v>1156.0</v>
      </c>
      <c r="AO486" s="21">
        <v>20.0</v>
      </c>
      <c r="AP486" s="20">
        <v>186436.0</v>
      </c>
      <c r="AQ486" s="20">
        <v>797.04</v>
      </c>
    </row>
    <row r="487" ht="22.5" hidden="1" customHeight="1">
      <c r="AJ487" s="20" t="s">
        <v>65</v>
      </c>
      <c r="AK487" s="21">
        <v>2.0</v>
      </c>
      <c r="AL487" s="20" t="s">
        <v>3</v>
      </c>
      <c r="AM487" s="20" t="s">
        <v>52</v>
      </c>
      <c r="AN487" s="21">
        <v>2948.0</v>
      </c>
      <c r="AO487" s="21">
        <v>20.0</v>
      </c>
      <c r="AP487" s="20">
        <v>182076.0</v>
      </c>
      <c r="AQ487" s="20">
        <v>797.06</v>
      </c>
    </row>
    <row r="488" ht="22.5" hidden="1" customHeight="1">
      <c r="AJ488" s="20" t="s">
        <v>65</v>
      </c>
      <c r="AK488" s="21">
        <v>2.0</v>
      </c>
      <c r="AL488" s="20" t="s">
        <v>2</v>
      </c>
      <c r="AM488" s="20" t="s">
        <v>52</v>
      </c>
      <c r="AN488" s="21">
        <v>1412.0</v>
      </c>
      <c r="AO488" s="21">
        <v>10.0</v>
      </c>
      <c r="AP488" s="20">
        <v>182076.0</v>
      </c>
      <c r="AQ488" s="20">
        <v>797.34</v>
      </c>
    </row>
    <row r="489" ht="22.5" hidden="1" customHeight="1">
      <c r="AJ489" s="20" t="s">
        <v>65</v>
      </c>
      <c r="AK489" s="21">
        <v>2.0</v>
      </c>
      <c r="AL489" s="20" t="s">
        <v>4</v>
      </c>
      <c r="AM489" s="20" t="s">
        <v>52</v>
      </c>
      <c r="AN489" s="21">
        <v>1412.0</v>
      </c>
      <c r="AO489" s="21">
        <v>10.0</v>
      </c>
      <c r="AP489" s="20">
        <v>182076.0</v>
      </c>
      <c r="AQ489" s="20">
        <v>797.48</v>
      </c>
    </row>
    <row r="490" ht="22.5" hidden="1" customHeight="1">
      <c r="AJ490" s="20" t="s">
        <v>65</v>
      </c>
      <c r="AK490" s="21">
        <v>3.0</v>
      </c>
      <c r="AL490" s="20" t="s">
        <v>4</v>
      </c>
      <c r="AM490" s="20" t="s">
        <v>50</v>
      </c>
      <c r="AN490" s="21">
        <v>2948.0</v>
      </c>
      <c r="AO490" s="21">
        <v>10.0</v>
      </c>
      <c r="AP490" s="20">
        <v>115738.0</v>
      </c>
      <c r="AQ490" s="20">
        <v>797.97</v>
      </c>
    </row>
    <row r="491" ht="22.5" hidden="1" customHeight="1">
      <c r="AJ491" s="20" t="s">
        <v>65</v>
      </c>
      <c r="AK491" s="21">
        <v>2.0</v>
      </c>
      <c r="AL491" s="20" t="s">
        <v>4</v>
      </c>
      <c r="AM491" s="20" t="s">
        <v>47</v>
      </c>
      <c r="AN491" s="21">
        <v>66436.0</v>
      </c>
      <c r="AO491" s="21">
        <v>10.0</v>
      </c>
      <c r="AP491" s="20">
        <v>186436.0</v>
      </c>
      <c r="AQ491" s="20">
        <v>798.91</v>
      </c>
    </row>
    <row r="492" ht="22.5" hidden="1" customHeight="1">
      <c r="AJ492" s="20" t="s">
        <v>65</v>
      </c>
      <c r="AK492" s="21">
        <v>2.0</v>
      </c>
      <c r="AL492" s="20" t="s">
        <v>2</v>
      </c>
      <c r="AM492" s="20" t="s">
        <v>54</v>
      </c>
      <c r="AN492" s="21">
        <v>1412.0</v>
      </c>
      <c r="AO492" s="21">
        <v>10.0</v>
      </c>
      <c r="AP492" s="20">
        <v>179699.0</v>
      </c>
      <c r="AQ492" s="20">
        <v>799.59</v>
      </c>
    </row>
    <row r="493" ht="22.5" hidden="1" customHeight="1">
      <c r="AJ493" s="20" t="s">
        <v>65</v>
      </c>
      <c r="AK493" s="21">
        <v>2.0</v>
      </c>
      <c r="AL493" s="20" t="s">
        <v>5</v>
      </c>
      <c r="AM493" s="20" t="s">
        <v>56</v>
      </c>
      <c r="AN493" s="21">
        <v>1924.0</v>
      </c>
      <c r="AO493" s="21">
        <v>20.0</v>
      </c>
      <c r="AP493" s="20">
        <v>194438.0</v>
      </c>
      <c r="AQ493" s="20">
        <v>799.82</v>
      </c>
    </row>
    <row r="494" ht="22.5" hidden="1" customHeight="1">
      <c r="AJ494" s="20" t="s">
        <v>65</v>
      </c>
      <c r="AK494" s="21">
        <v>3.0</v>
      </c>
      <c r="AL494" s="20" t="s">
        <v>2</v>
      </c>
      <c r="AM494" s="20" t="s">
        <v>50</v>
      </c>
      <c r="AN494" s="21">
        <v>2948.0</v>
      </c>
      <c r="AO494" s="21">
        <v>10.0</v>
      </c>
      <c r="AP494" s="20">
        <v>115738.0</v>
      </c>
      <c r="AQ494" s="20">
        <v>800.47</v>
      </c>
    </row>
    <row r="495" ht="22.5" hidden="1" customHeight="1">
      <c r="AJ495" s="20" t="s">
        <v>65</v>
      </c>
      <c r="AK495" s="21">
        <v>2.0</v>
      </c>
      <c r="AL495" s="20" t="s">
        <v>3</v>
      </c>
      <c r="AM495" s="20" t="s">
        <v>47</v>
      </c>
      <c r="AN495" s="21">
        <v>2948.0</v>
      </c>
      <c r="AO495" s="21">
        <v>20.0</v>
      </c>
      <c r="AP495" s="20">
        <v>186436.0</v>
      </c>
      <c r="AQ495" s="20">
        <v>801.05</v>
      </c>
    </row>
    <row r="496" ht="22.5" hidden="1" customHeight="1">
      <c r="AJ496" s="20" t="s">
        <v>65</v>
      </c>
      <c r="AK496" s="21">
        <v>2.0</v>
      </c>
      <c r="AL496" s="20" t="s">
        <v>5</v>
      </c>
      <c r="AM496" s="20" t="s">
        <v>47</v>
      </c>
      <c r="AN496" s="21">
        <v>1412.0</v>
      </c>
      <c r="AO496" s="21">
        <v>20.0</v>
      </c>
      <c r="AP496" s="20">
        <v>186436.0</v>
      </c>
      <c r="AQ496" s="20">
        <v>801.73</v>
      </c>
    </row>
    <row r="497" ht="22.5" hidden="1" customHeight="1">
      <c r="AJ497" s="20" t="s">
        <v>65</v>
      </c>
      <c r="AK497" s="21">
        <v>2.0</v>
      </c>
      <c r="AL497" s="20" t="s">
        <v>3</v>
      </c>
      <c r="AM497" s="20" t="s">
        <v>47</v>
      </c>
      <c r="AN497" s="21">
        <v>1156.0</v>
      </c>
      <c r="AO497" s="21">
        <v>20.0</v>
      </c>
      <c r="AP497" s="20">
        <v>186436.0</v>
      </c>
      <c r="AQ497" s="20">
        <v>801.73</v>
      </c>
    </row>
    <row r="498" ht="22.5" hidden="1" customHeight="1">
      <c r="AJ498" s="20" t="s">
        <v>65</v>
      </c>
      <c r="AK498" s="21">
        <v>2.0</v>
      </c>
      <c r="AL498" s="20" t="s">
        <v>5</v>
      </c>
      <c r="AM498" s="20" t="s">
        <v>54</v>
      </c>
      <c r="AN498" s="21">
        <v>1156.0</v>
      </c>
      <c r="AO498" s="21">
        <v>20.0</v>
      </c>
      <c r="AP498" s="20">
        <v>179699.0</v>
      </c>
      <c r="AQ498" s="20">
        <v>801.8</v>
      </c>
    </row>
    <row r="499" ht="22.5" hidden="1" customHeight="1">
      <c r="AJ499" s="20" t="s">
        <v>65</v>
      </c>
      <c r="AK499" s="21">
        <v>2.0</v>
      </c>
      <c r="AL499" s="20" t="s">
        <v>4</v>
      </c>
      <c r="AM499" s="20" t="s">
        <v>54</v>
      </c>
      <c r="AN499" s="21">
        <v>4996.0</v>
      </c>
      <c r="AO499" s="21">
        <v>10.0</v>
      </c>
      <c r="AP499" s="20">
        <v>179699.0</v>
      </c>
      <c r="AQ499" s="20">
        <v>803.66</v>
      </c>
    </row>
    <row r="500" ht="22.5" hidden="1" customHeight="1">
      <c r="AJ500" s="20" t="s">
        <v>65</v>
      </c>
      <c r="AK500" s="21">
        <v>2.0</v>
      </c>
      <c r="AL500" s="20" t="s">
        <v>5</v>
      </c>
      <c r="AM500" s="20" t="s">
        <v>52</v>
      </c>
      <c r="AN500" s="21">
        <v>4996.0</v>
      </c>
      <c r="AO500" s="21">
        <v>20.0</v>
      </c>
      <c r="AP500" s="20">
        <v>182076.0</v>
      </c>
      <c r="AQ500" s="20">
        <v>803.71</v>
      </c>
    </row>
    <row r="501" ht="22.5" hidden="1" customHeight="1">
      <c r="AJ501" s="20" t="s">
        <v>65</v>
      </c>
      <c r="AK501" s="21">
        <v>2.0</v>
      </c>
      <c r="AL501" s="20" t="s">
        <v>4</v>
      </c>
      <c r="AM501" s="20" t="s">
        <v>54</v>
      </c>
      <c r="AN501" s="21">
        <v>66436.0</v>
      </c>
      <c r="AO501" s="21">
        <v>10.0</v>
      </c>
      <c r="AP501" s="20">
        <v>179719.0</v>
      </c>
      <c r="AQ501" s="20">
        <v>803.76</v>
      </c>
    </row>
    <row r="502" ht="22.5" hidden="1" customHeight="1">
      <c r="AJ502" s="20" t="s">
        <v>65</v>
      </c>
      <c r="AK502" s="21">
        <v>2.0</v>
      </c>
      <c r="AL502" s="20" t="s">
        <v>2</v>
      </c>
      <c r="AM502" s="20" t="s">
        <v>47</v>
      </c>
      <c r="AN502" s="21">
        <v>4996.0</v>
      </c>
      <c r="AO502" s="21">
        <v>10.0</v>
      </c>
      <c r="AP502" s="20">
        <v>186436.0</v>
      </c>
      <c r="AQ502" s="20">
        <v>803.76</v>
      </c>
    </row>
    <row r="503" ht="22.5" hidden="1" customHeight="1">
      <c r="AJ503" s="20" t="s">
        <v>65</v>
      </c>
      <c r="AK503" s="21">
        <v>2.0</v>
      </c>
      <c r="AL503" s="20" t="s">
        <v>5</v>
      </c>
      <c r="AM503" s="20" t="s">
        <v>52</v>
      </c>
      <c r="AN503" s="21">
        <v>1412.0</v>
      </c>
      <c r="AO503" s="21">
        <v>20.0</v>
      </c>
      <c r="AP503" s="20">
        <v>182076.0</v>
      </c>
      <c r="AQ503" s="20">
        <v>804.55</v>
      </c>
    </row>
    <row r="504" ht="22.5" hidden="1" customHeight="1">
      <c r="AJ504" s="20" t="s">
        <v>65</v>
      </c>
      <c r="AK504" s="21">
        <v>2.0</v>
      </c>
      <c r="AL504" s="20" t="s">
        <v>2</v>
      </c>
      <c r="AM504" s="20" t="s">
        <v>52</v>
      </c>
      <c r="AN504" s="21">
        <v>4996.0</v>
      </c>
      <c r="AO504" s="21">
        <v>10.0</v>
      </c>
      <c r="AP504" s="20">
        <v>182076.0</v>
      </c>
      <c r="AQ504" s="20">
        <v>805.62</v>
      </c>
    </row>
    <row r="505" ht="22.5" hidden="1" customHeight="1">
      <c r="AJ505" s="20" t="s">
        <v>65</v>
      </c>
      <c r="AK505" s="21">
        <v>2.0</v>
      </c>
      <c r="AL505" s="20" t="s">
        <v>5</v>
      </c>
      <c r="AM505" s="20" t="s">
        <v>52</v>
      </c>
      <c r="AN505" s="21">
        <v>2948.0</v>
      </c>
      <c r="AO505" s="21">
        <v>20.0</v>
      </c>
      <c r="AP505" s="20">
        <v>182076.0</v>
      </c>
      <c r="AQ505" s="20">
        <v>807.33</v>
      </c>
    </row>
    <row r="506" ht="22.5" hidden="1" customHeight="1">
      <c r="AJ506" s="20" t="s">
        <v>65</v>
      </c>
      <c r="AK506" s="21">
        <v>2.0</v>
      </c>
      <c r="AL506" s="20" t="s">
        <v>5</v>
      </c>
      <c r="AM506" s="20" t="s">
        <v>46</v>
      </c>
      <c r="AN506" s="21">
        <v>1156.0</v>
      </c>
      <c r="AO506" s="21">
        <v>20.0</v>
      </c>
      <c r="AP506" s="20">
        <v>177222.0</v>
      </c>
      <c r="AQ506" s="20">
        <v>809.42</v>
      </c>
    </row>
    <row r="507" ht="22.5" hidden="1" customHeight="1">
      <c r="AJ507" s="20" t="s">
        <v>65</v>
      </c>
      <c r="AK507" s="21">
        <v>2.0</v>
      </c>
      <c r="AL507" s="20" t="s">
        <v>4</v>
      </c>
      <c r="AM507" s="20" t="s">
        <v>47</v>
      </c>
      <c r="AN507" s="21">
        <v>1924.0</v>
      </c>
      <c r="AO507" s="21">
        <v>10.0</v>
      </c>
      <c r="AP507" s="20">
        <v>186436.0</v>
      </c>
      <c r="AQ507" s="20">
        <v>810.24</v>
      </c>
    </row>
    <row r="508" ht="22.5" hidden="1" customHeight="1">
      <c r="AJ508" s="20" t="s">
        <v>65</v>
      </c>
      <c r="AK508" s="21">
        <v>2.0</v>
      </c>
      <c r="AL508" s="20" t="s">
        <v>5</v>
      </c>
      <c r="AM508" s="20" t="s">
        <v>47</v>
      </c>
      <c r="AN508" s="21">
        <v>9092.0</v>
      </c>
      <c r="AO508" s="21">
        <v>20.0</v>
      </c>
      <c r="AP508" s="20">
        <v>186436.0</v>
      </c>
      <c r="AQ508" s="20">
        <v>811.35</v>
      </c>
    </row>
    <row r="509" ht="22.5" hidden="1" customHeight="1">
      <c r="AJ509" s="20" t="s">
        <v>65</v>
      </c>
      <c r="AK509" s="21">
        <v>2.0</v>
      </c>
      <c r="AL509" s="20" t="s">
        <v>3</v>
      </c>
      <c r="AM509" s="20" t="s">
        <v>46</v>
      </c>
      <c r="AN509" s="21">
        <v>4996.0</v>
      </c>
      <c r="AO509" s="21">
        <v>20.0</v>
      </c>
      <c r="AP509" s="20">
        <v>177222.0</v>
      </c>
      <c r="AQ509" s="20">
        <v>811.58</v>
      </c>
    </row>
    <row r="510" ht="22.5" hidden="1" customHeight="1">
      <c r="AJ510" s="20" t="s">
        <v>65</v>
      </c>
      <c r="AK510" s="21">
        <v>2.0</v>
      </c>
      <c r="AL510" s="20" t="s">
        <v>4</v>
      </c>
      <c r="AM510" s="20" t="s">
        <v>53</v>
      </c>
      <c r="AN510" s="21">
        <v>33668.0</v>
      </c>
      <c r="AO510" s="21">
        <v>10.0</v>
      </c>
      <c r="AP510" s="20">
        <v>160641.0</v>
      </c>
      <c r="AQ510" s="20">
        <v>812.47</v>
      </c>
    </row>
    <row r="511" ht="22.5" hidden="1" customHeight="1">
      <c r="AJ511" s="20" t="s">
        <v>65</v>
      </c>
      <c r="AK511" s="21">
        <v>2.0</v>
      </c>
      <c r="AL511" s="20" t="s">
        <v>4</v>
      </c>
      <c r="AM511" s="20" t="s">
        <v>46</v>
      </c>
      <c r="AN511" s="21">
        <v>9092.0</v>
      </c>
      <c r="AO511" s="21">
        <v>10.0</v>
      </c>
      <c r="AP511" s="20">
        <v>177222.0</v>
      </c>
      <c r="AQ511" s="20">
        <v>812.49</v>
      </c>
    </row>
    <row r="512" ht="22.5" hidden="1" customHeight="1">
      <c r="AJ512" s="20" t="s">
        <v>65</v>
      </c>
      <c r="AK512" s="21">
        <v>2.0</v>
      </c>
      <c r="AL512" s="20" t="s">
        <v>4</v>
      </c>
      <c r="AM512" s="20" t="s">
        <v>54</v>
      </c>
      <c r="AN512" s="21">
        <v>33668.0</v>
      </c>
      <c r="AO512" s="21">
        <v>10.0</v>
      </c>
      <c r="AP512" s="20">
        <v>179719.0</v>
      </c>
      <c r="AQ512" s="20">
        <v>812.57</v>
      </c>
    </row>
    <row r="513" ht="22.5" hidden="1" customHeight="1">
      <c r="AJ513" s="20" t="s">
        <v>65</v>
      </c>
      <c r="AK513" s="21">
        <v>2.0</v>
      </c>
      <c r="AL513" s="20" t="s">
        <v>3</v>
      </c>
      <c r="AM513" s="20" t="s">
        <v>52</v>
      </c>
      <c r="AN513" s="21">
        <v>1924.0</v>
      </c>
      <c r="AO513" s="21">
        <v>20.0</v>
      </c>
      <c r="AP513" s="20">
        <v>182076.0</v>
      </c>
      <c r="AQ513" s="20">
        <v>813.13</v>
      </c>
    </row>
    <row r="514" ht="22.5" hidden="1" customHeight="1">
      <c r="AJ514" s="20" t="s">
        <v>65</v>
      </c>
      <c r="AK514" s="21">
        <v>2.0</v>
      </c>
      <c r="AL514" s="20" t="s">
        <v>3</v>
      </c>
      <c r="AM514" s="20" t="s">
        <v>46</v>
      </c>
      <c r="AN514" s="21">
        <v>1156.0</v>
      </c>
      <c r="AO514" s="21">
        <v>20.0</v>
      </c>
      <c r="AP514" s="20">
        <v>177222.0</v>
      </c>
      <c r="AQ514" s="20">
        <v>813.17</v>
      </c>
    </row>
    <row r="515" ht="22.5" hidden="1" customHeight="1">
      <c r="AJ515" s="20" t="s">
        <v>65</v>
      </c>
      <c r="AK515" s="21">
        <v>2.0</v>
      </c>
      <c r="AL515" s="20" t="s">
        <v>4</v>
      </c>
      <c r="AM515" s="20" t="s">
        <v>47</v>
      </c>
      <c r="AN515" s="21">
        <v>33668.0</v>
      </c>
      <c r="AO515" s="21">
        <v>10.0</v>
      </c>
      <c r="AP515" s="20">
        <v>186436.0</v>
      </c>
      <c r="AQ515" s="20">
        <v>814.92</v>
      </c>
    </row>
    <row r="516" ht="22.5" hidden="1" customHeight="1">
      <c r="AJ516" s="20" t="s">
        <v>65</v>
      </c>
      <c r="AK516" s="21">
        <v>2.0</v>
      </c>
      <c r="AL516" s="20" t="s">
        <v>5</v>
      </c>
      <c r="AM516" s="20" t="s">
        <v>47</v>
      </c>
      <c r="AN516" s="21">
        <v>66436.0</v>
      </c>
      <c r="AO516" s="21">
        <v>20.0</v>
      </c>
      <c r="AP516" s="20">
        <v>186436.0</v>
      </c>
      <c r="AQ516" s="20">
        <v>815.0</v>
      </c>
    </row>
    <row r="517" ht="22.5" hidden="1" customHeight="1">
      <c r="AJ517" s="20" t="s">
        <v>65</v>
      </c>
      <c r="AK517" s="21">
        <v>2.0</v>
      </c>
      <c r="AL517" s="20" t="s">
        <v>3</v>
      </c>
      <c r="AM517" s="20" t="s">
        <v>54</v>
      </c>
      <c r="AN517" s="21">
        <v>1412.0</v>
      </c>
      <c r="AO517" s="21">
        <v>20.0</v>
      </c>
      <c r="AP517" s="20">
        <v>179699.0</v>
      </c>
      <c r="AQ517" s="20">
        <v>816.15</v>
      </c>
    </row>
    <row r="518" ht="22.5" hidden="1" customHeight="1">
      <c r="AJ518" s="20" t="s">
        <v>65</v>
      </c>
      <c r="AK518" s="21">
        <v>3.0</v>
      </c>
      <c r="AL518" s="20" t="s">
        <v>4</v>
      </c>
      <c r="AM518" s="20" t="s">
        <v>50</v>
      </c>
      <c r="AN518" s="21">
        <v>1924.0</v>
      </c>
      <c r="AO518" s="21">
        <v>10.0</v>
      </c>
      <c r="AP518" s="20">
        <v>115738.0</v>
      </c>
      <c r="AQ518" s="20">
        <v>816.3</v>
      </c>
    </row>
    <row r="519" ht="22.5" hidden="1" customHeight="1">
      <c r="AJ519" s="20" t="s">
        <v>65</v>
      </c>
      <c r="AK519" s="21">
        <v>2.0</v>
      </c>
      <c r="AL519" s="20" t="s">
        <v>3</v>
      </c>
      <c r="AM519" s="20" t="s">
        <v>52</v>
      </c>
      <c r="AN519" s="21">
        <v>1412.0</v>
      </c>
      <c r="AO519" s="21">
        <v>20.0</v>
      </c>
      <c r="AP519" s="20">
        <v>182076.0</v>
      </c>
      <c r="AQ519" s="20">
        <v>816.6</v>
      </c>
    </row>
    <row r="520" ht="22.5" hidden="1" customHeight="1">
      <c r="AJ520" s="20" t="s">
        <v>65</v>
      </c>
      <c r="AK520" s="21">
        <v>2.0</v>
      </c>
      <c r="AL520" s="20" t="s">
        <v>3</v>
      </c>
      <c r="AM520" s="20" t="s">
        <v>47</v>
      </c>
      <c r="AN520" s="21">
        <v>4996.0</v>
      </c>
      <c r="AO520" s="21">
        <v>20.0</v>
      </c>
      <c r="AP520" s="20">
        <v>186436.0</v>
      </c>
      <c r="AQ520" s="20">
        <v>816.65</v>
      </c>
    </row>
    <row r="521" ht="22.5" hidden="1" customHeight="1">
      <c r="AJ521" s="20" t="s">
        <v>65</v>
      </c>
      <c r="AK521" s="21">
        <v>2.0</v>
      </c>
      <c r="AL521" s="20" t="s">
        <v>3</v>
      </c>
      <c r="AM521" s="20" t="s">
        <v>47</v>
      </c>
      <c r="AN521" s="21">
        <v>1412.0</v>
      </c>
      <c r="AO521" s="21">
        <v>20.0</v>
      </c>
      <c r="AP521" s="20">
        <v>186436.0</v>
      </c>
      <c r="AQ521" s="20">
        <v>816.86</v>
      </c>
    </row>
    <row r="522" ht="22.5" hidden="1" customHeight="1">
      <c r="AJ522" s="20" t="s">
        <v>65</v>
      </c>
      <c r="AK522" s="21">
        <v>2.0</v>
      </c>
      <c r="AL522" s="20" t="s">
        <v>5</v>
      </c>
      <c r="AM522" s="20" t="s">
        <v>52</v>
      </c>
      <c r="AN522" s="21">
        <v>1924.0</v>
      </c>
      <c r="AO522" s="21">
        <v>20.0</v>
      </c>
      <c r="AP522" s="20">
        <v>182076.0</v>
      </c>
      <c r="AQ522" s="20">
        <v>816.99</v>
      </c>
    </row>
    <row r="523" ht="22.5" hidden="1" customHeight="1">
      <c r="AJ523" s="20" t="s">
        <v>65</v>
      </c>
      <c r="AK523" s="21">
        <v>3.0</v>
      </c>
      <c r="AL523" s="20" t="s">
        <v>2</v>
      </c>
      <c r="AM523" s="20" t="s">
        <v>50</v>
      </c>
      <c r="AN523" s="21">
        <v>1924.0</v>
      </c>
      <c r="AO523" s="21">
        <v>10.0</v>
      </c>
      <c r="AP523" s="20">
        <v>115738.0</v>
      </c>
      <c r="AQ523" s="20">
        <v>817.33</v>
      </c>
    </row>
    <row r="524" ht="22.5" hidden="1" customHeight="1">
      <c r="AJ524" s="20" t="s">
        <v>65</v>
      </c>
      <c r="AK524" s="21">
        <v>2.0</v>
      </c>
      <c r="AL524" s="20" t="s">
        <v>3</v>
      </c>
      <c r="AM524" s="20" t="s">
        <v>54</v>
      </c>
      <c r="AN524" s="21">
        <v>1156.0</v>
      </c>
      <c r="AO524" s="21">
        <v>20.0</v>
      </c>
      <c r="AP524" s="20">
        <v>179699.0</v>
      </c>
      <c r="AQ524" s="20">
        <v>817.71</v>
      </c>
    </row>
    <row r="525" ht="22.5" hidden="1" customHeight="1">
      <c r="AJ525" s="20" t="s">
        <v>65</v>
      </c>
      <c r="AK525" s="21">
        <v>2.0</v>
      </c>
      <c r="AL525" s="20" t="s">
        <v>5</v>
      </c>
      <c r="AM525" s="20" t="s">
        <v>47</v>
      </c>
      <c r="AN525" s="21">
        <v>1924.0</v>
      </c>
      <c r="AO525" s="21">
        <v>20.0</v>
      </c>
      <c r="AP525" s="20">
        <v>186436.0</v>
      </c>
      <c r="AQ525" s="20">
        <v>818.83</v>
      </c>
    </row>
    <row r="526" ht="22.5" hidden="1" customHeight="1">
      <c r="AJ526" s="20" t="s">
        <v>65</v>
      </c>
      <c r="AK526" s="21">
        <v>2.0</v>
      </c>
      <c r="AL526" s="20" t="s">
        <v>5</v>
      </c>
      <c r="AM526" s="20" t="s">
        <v>46</v>
      </c>
      <c r="AN526" s="21">
        <v>1412.0</v>
      </c>
      <c r="AO526" s="21">
        <v>20.0</v>
      </c>
      <c r="AP526" s="20">
        <v>177222.0</v>
      </c>
      <c r="AQ526" s="20">
        <v>820.31</v>
      </c>
    </row>
    <row r="527" ht="22.5" hidden="1" customHeight="1">
      <c r="AJ527" s="20" t="s">
        <v>65</v>
      </c>
      <c r="AK527" s="21">
        <v>2.0</v>
      </c>
      <c r="AL527" s="20" t="s">
        <v>3</v>
      </c>
      <c r="AM527" s="20" t="s">
        <v>47</v>
      </c>
      <c r="AN527" s="21">
        <v>1924.0</v>
      </c>
      <c r="AO527" s="21">
        <v>20.0</v>
      </c>
      <c r="AP527" s="20">
        <v>186436.0</v>
      </c>
      <c r="AQ527" s="20">
        <v>822.02</v>
      </c>
    </row>
    <row r="528" ht="22.5" hidden="1" customHeight="1">
      <c r="AJ528" s="20" t="s">
        <v>65</v>
      </c>
      <c r="AK528" s="21">
        <v>2.0</v>
      </c>
      <c r="AL528" s="20" t="s">
        <v>4</v>
      </c>
      <c r="AM528" s="20" t="s">
        <v>47</v>
      </c>
      <c r="AN528" s="21">
        <v>131972.0</v>
      </c>
      <c r="AO528" s="21">
        <v>10.0</v>
      </c>
      <c r="AP528" s="20">
        <v>186436.0</v>
      </c>
      <c r="AQ528" s="20">
        <v>822.69</v>
      </c>
    </row>
    <row r="529" ht="22.5" hidden="1" customHeight="1">
      <c r="AJ529" s="20" t="s">
        <v>65</v>
      </c>
      <c r="AK529" s="21">
        <v>2.0</v>
      </c>
      <c r="AL529" s="20" t="s">
        <v>5</v>
      </c>
      <c r="AM529" s="20" t="s">
        <v>47</v>
      </c>
      <c r="AN529" s="21">
        <v>33668.0</v>
      </c>
      <c r="AO529" s="21">
        <v>20.0</v>
      </c>
      <c r="AP529" s="20">
        <v>186436.0</v>
      </c>
      <c r="AQ529" s="20">
        <v>823.29</v>
      </c>
    </row>
    <row r="530" ht="22.5" hidden="1" customHeight="1">
      <c r="AJ530" s="20" t="s">
        <v>65</v>
      </c>
      <c r="AK530" s="21">
        <v>3.0</v>
      </c>
      <c r="AL530" s="20" t="s">
        <v>2</v>
      </c>
      <c r="AM530" s="20" t="s">
        <v>50</v>
      </c>
      <c r="AN530" s="21">
        <v>1412.0</v>
      </c>
      <c r="AO530" s="21">
        <v>10.0</v>
      </c>
      <c r="AP530" s="20">
        <v>115738.0</v>
      </c>
      <c r="AQ530" s="20">
        <v>824.26</v>
      </c>
    </row>
    <row r="531" ht="22.5" hidden="1" customHeight="1">
      <c r="AJ531" s="20" t="s">
        <v>65</v>
      </c>
      <c r="AK531" s="21">
        <v>2.0</v>
      </c>
      <c r="AL531" s="20" t="s">
        <v>3</v>
      </c>
      <c r="AM531" s="20" t="s">
        <v>46</v>
      </c>
      <c r="AN531" s="21">
        <v>1412.0</v>
      </c>
      <c r="AO531" s="21">
        <v>20.0</v>
      </c>
      <c r="AP531" s="20">
        <v>177222.0</v>
      </c>
      <c r="AQ531" s="20">
        <v>824.67</v>
      </c>
    </row>
    <row r="532" ht="22.5" hidden="1" customHeight="1">
      <c r="AJ532" s="20" t="s">
        <v>65</v>
      </c>
      <c r="AK532" s="21">
        <v>2.0</v>
      </c>
      <c r="AL532" s="20" t="s">
        <v>5</v>
      </c>
      <c r="AM532" s="20" t="s">
        <v>47</v>
      </c>
      <c r="AN532" s="21">
        <v>17284.0</v>
      </c>
      <c r="AO532" s="21">
        <v>20.0</v>
      </c>
      <c r="AP532" s="20">
        <v>186436.0</v>
      </c>
      <c r="AQ532" s="20">
        <v>826.19</v>
      </c>
    </row>
    <row r="533" ht="22.5" hidden="1" customHeight="1">
      <c r="AJ533" s="20" t="s">
        <v>65</v>
      </c>
      <c r="AK533" s="21">
        <v>2.0</v>
      </c>
      <c r="AL533" s="20" t="s">
        <v>5</v>
      </c>
      <c r="AM533" s="20" t="s">
        <v>47</v>
      </c>
      <c r="AN533" s="21">
        <v>4996.0</v>
      </c>
      <c r="AO533" s="21">
        <v>20.0</v>
      </c>
      <c r="AP533" s="20">
        <v>186436.0</v>
      </c>
      <c r="AQ533" s="20">
        <v>826.72</v>
      </c>
    </row>
    <row r="534" ht="22.5" hidden="1" customHeight="1">
      <c r="AJ534" s="20" t="s">
        <v>65</v>
      </c>
      <c r="AK534" s="21">
        <v>2.0</v>
      </c>
      <c r="AL534" s="20" t="s">
        <v>3</v>
      </c>
      <c r="AM534" s="20" t="s">
        <v>54</v>
      </c>
      <c r="AN534" s="21">
        <v>2948.0</v>
      </c>
      <c r="AO534" s="21">
        <v>20.0</v>
      </c>
      <c r="AP534" s="20">
        <v>179699.0</v>
      </c>
      <c r="AQ534" s="20">
        <v>827.0</v>
      </c>
    </row>
    <row r="535" ht="22.5" hidden="1" customHeight="1">
      <c r="AJ535" s="20" t="s">
        <v>65</v>
      </c>
      <c r="AK535" s="21">
        <v>2.0</v>
      </c>
      <c r="AL535" s="20" t="s">
        <v>4</v>
      </c>
      <c r="AM535" s="20" t="s">
        <v>47</v>
      </c>
      <c r="AN535" s="21">
        <v>4996.0</v>
      </c>
      <c r="AO535" s="21">
        <v>10.0</v>
      </c>
      <c r="AP535" s="20">
        <v>186436.0</v>
      </c>
      <c r="AQ535" s="20">
        <v>827.21</v>
      </c>
    </row>
    <row r="536" ht="22.5" hidden="1" customHeight="1">
      <c r="AJ536" s="20" t="s">
        <v>65</v>
      </c>
      <c r="AK536" s="21">
        <v>3.0</v>
      </c>
      <c r="AL536" s="20" t="s">
        <v>5</v>
      </c>
      <c r="AM536" s="20" t="s">
        <v>50</v>
      </c>
      <c r="AN536" s="21">
        <v>2948.0</v>
      </c>
      <c r="AO536" s="21">
        <v>20.0</v>
      </c>
      <c r="AP536" s="20">
        <v>115738.0</v>
      </c>
      <c r="AQ536" s="20">
        <v>827.31</v>
      </c>
    </row>
    <row r="537" ht="22.5" hidden="1" customHeight="1">
      <c r="AJ537" s="20" t="s">
        <v>65</v>
      </c>
      <c r="AK537" s="21">
        <v>2.0</v>
      </c>
      <c r="AL537" s="20" t="s">
        <v>5</v>
      </c>
      <c r="AM537" s="20" t="s">
        <v>46</v>
      </c>
      <c r="AN537" s="21">
        <v>66436.0</v>
      </c>
      <c r="AO537" s="21">
        <v>20.0</v>
      </c>
      <c r="AP537" s="20">
        <v>177222.0</v>
      </c>
      <c r="AQ537" s="20">
        <v>827.59</v>
      </c>
    </row>
    <row r="538" ht="22.5" hidden="1" customHeight="1">
      <c r="AJ538" s="20" t="s">
        <v>65</v>
      </c>
      <c r="AK538" s="21">
        <v>2.0</v>
      </c>
      <c r="AL538" s="20" t="s">
        <v>4</v>
      </c>
      <c r="AM538" s="20" t="s">
        <v>53</v>
      </c>
      <c r="AN538" s="21">
        <v>1412.0</v>
      </c>
      <c r="AO538" s="21">
        <v>10.0</v>
      </c>
      <c r="AP538" s="20">
        <v>160641.0</v>
      </c>
      <c r="AQ538" s="20">
        <v>827.94</v>
      </c>
    </row>
    <row r="539" ht="22.5" hidden="1" customHeight="1">
      <c r="AJ539" s="20" t="s">
        <v>65</v>
      </c>
      <c r="AK539" s="21">
        <v>2.0</v>
      </c>
      <c r="AL539" s="20" t="s">
        <v>4</v>
      </c>
      <c r="AM539" s="20" t="s">
        <v>53</v>
      </c>
      <c r="AN539" s="21">
        <v>131972.0</v>
      </c>
      <c r="AO539" s="21">
        <v>10.0</v>
      </c>
      <c r="AP539" s="20">
        <v>160641.0</v>
      </c>
      <c r="AQ539" s="20">
        <v>828.04</v>
      </c>
    </row>
    <row r="540" ht="22.5" hidden="1" customHeight="1">
      <c r="AJ540" s="20" t="s">
        <v>65</v>
      </c>
      <c r="AK540" s="21">
        <v>2.0</v>
      </c>
      <c r="AL540" s="20" t="s">
        <v>5</v>
      </c>
      <c r="AM540" s="20" t="s">
        <v>53</v>
      </c>
      <c r="AN540" s="21">
        <v>33668.0</v>
      </c>
      <c r="AO540" s="21">
        <v>20.0</v>
      </c>
      <c r="AP540" s="20">
        <v>160641.0</v>
      </c>
      <c r="AQ540" s="20">
        <v>828.11</v>
      </c>
    </row>
    <row r="541" ht="22.5" hidden="1" customHeight="1">
      <c r="AJ541" s="20" t="s">
        <v>65</v>
      </c>
      <c r="AK541" s="21">
        <v>2.0</v>
      </c>
      <c r="AL541" s="20" t="s">
        <v>4</v>
      </c>
      <c r="AM541" s="20" t="s">
        <v>53</v>
      </c>
      <c r="AN541" s="21">
        <v>2948.0</v>
      </c>
      <c r="AO541" s="21">
        <v>10.0</v>
      </c>
      <c r="AP541" s="20">
        <v>160641.0</v>
      </c>
      <c r="AQ541" s="20">
        <v>828.68</v>
      </c>
    </row>
    <row r="542" ht="22.5" hidden="1" customHeight="1">
      <c r="AJ542" s="20" t="s">
        <v>65</v>
      </c>
      <c r="AK542" s="21">
        <v>2.0</v>
      </c>
      <c r="AL542" s="20" t="s">
        <v>4</v>
      </c>
      <c r="AM542" s="20" t="s">
        <v>53</v>
      </c>
      <c r="AN542" s="21">
        <v>1924.0</v>
      </c>
      <c r="AO542" s="21">
        <v>10.0</v>
      </c>
      <c r="AP542" s="20">
        <v>160641.0</v>
      </c>
      <c r="AQ542" s="20">
        <v>831.61</v>
      </c>
    </row>
    <row r="543" ht="22.5" hidden="1" customHeight="1">
      <c r="AJ543" s="20" t="s">
        <v>65</v>
      </c>
      <c r="AK543" s="21">
        <v>2.0</v>
      </c>
      <c r="AL543" s="20" t="s">
        <v>5</v>
      </c>
      <c r="AM543" s="20" t="s">
        <v>47</v>
      </c>
      <c r="AN543" s="21">
        <v>131972.0</v>
      </c>
      <c r="AO543" s="21">
        <v>20.0</v>
      </c>
      <c r="AP543" s="20">
        <v>186436.0</v>
      </c>
      <c r="AQ543" s="20">
        <v>832.39</v>
      </c>
    </row>
    <row r="544" ht="22.5" hidden="1" customHeight="1">
      <c r="AJ544" s="20" t="s">
        <v>65</v>
      </c>
      <c r="AK544" s="21">
        <v>2.0</v>
      </c>
      <c r="AL544" s="20" t="s">
        <v>5</v>
      </c>
      <c r="AM544" s="20" t="s">
        <v>46</v>
      </c>
      <c r="AN544" s="21">
        <v>9092.0</v>
      </c>
      <c r="AO544" s="21">
        <v>20.0</v>
      </c>
      <c r="AP544" s="20">
        <v>177222.0</v>
      </c>
      <c r="AQ544" s="20">
        <v>832.71</v>
      </c>
    </row>
    <row r="545" ht="22.5" hidden="1" customHeight="1">
      <c r="AJ545" s="20" t="s">
        <v>65</v>
      </c>
      <c r="AK545" s="21">
        <v>2.0</v>
      </c>
      <c r="AL545" s="20" t="s">
        <v>5</v>
      </c>
      <c r="AM545" s="20" t="s">
        <v>54</v>
      </c>
      <c r="AN545" s="21">
        <v>66436.0</v>
      </c>
      <c r="AO545" s="21">
        <v>20.0</v>
      </c>
      <c r="AP545" s="20">
        <v>179719.0</v>
      </c>
      <c r="AQ545" s="20">
        <v>832.78</v>
      </c>
    </row>
    <row r="546" ht="22.5" hidden="1" customHeight="1">
      <c r="AJ546" s="20" t="s">
        <v>65</v>
      </c>
      <c r="AK546" s="21">
        <v>3.0</v>
      </c>
      <c r="AL546" s="20" t="s">
        <v>3</v>
      </c>
      <c r="AM546" s="20" t="s">
        <v>50</v>
      </c>
      <c r="AN546" s="21">
        <v>1924.0</v>
      </c>
      <c r="AO546" s="21">
        <v>20.0</v>
      </c>
      <c r="AP546" s="20">
        <v>115738.0</v>
      </c>
      <c r="AQ546" s="20">
        <v>834.2</v>
      </c>
    </row>
    <row r="547" ht="22.5" hidden="1" customHeight="1">
      <c r="AJ547" s="20" t="s">
        <v>65</v>
      </c>
      <c r="AK547" s="21">
        <v>2.0</v>
      </c>
      <c r="AL547" s="20" t="s">
        <v>4</v>
      </c>
      <c r="AM547" s="20" t="s">
        <v>54</v>
      </c>
      <c r="AN547" s="21">
        <v>1924.0</v>
      </c>
      <c r="AO547" s="21">
        <v>10.0</v>
      </c>
      <c r="AP547" s="20">
        <v>179699.0</v>
      </c>
      <c r="AQ547" s="20">
        <v>834.93</v>
      </c>
    </row>
    <row r="548" ht="22.5" hidden="1" customHeight="1">
      <c r="AJ548" s="20" t="s">
        <v>65</v>
      </c>
      <c r="AK548" s="21">
        <v>2.0</v>
      </c>
      <c r="AL548" s="20" t="s">
        <v>2</v>
      </c>
      <c r="AM548" s="20" t="s">
        <v>54</v>
      </c>
      <c r="AN548" s="21">
        <v>1924.0</v>
      </c>
      <c r="AO548" s="21">
        <v>10.0</v>
      </c>
      <c r="AP548" s="20">
        <v>179699.0</v>
      </c>
      <c r="AQ548" s="20">
        <v>834.93</v>
      </c>
    </row>
    <row r="549" ht="22.5" hidden="1" customHeight="1">
      <c r="AJ549" s="20" t="s">
        <v>65</v>
      </c>
      <c r="AK549" s="21">
        <v>2.0</v>
      </c>
      <c r="AL549" s="20" t="s">
        <v>2</v>
      </c>
      <c r="AM549" s="20" t="s">
        <v>53</v>
      </c>
      <c r="AN549" s="21">
        <v>1412.0</v>
      </c>
      <c r="AO549" s="21">
        <v>10.0</v>
      </c>
      <c r="AP549" s="20">
        <v>160641.0</v>
      </c>
      <c r="AQ549" s="20">
        <v>836.58</v>
      </c>
    </row>
    <row r="550" ht="22.5" hidden="1" customHeight="1">
      <c r="AJ550" s="20" t="s">
        <v>65</v>
      </c>
      <c r="AK550" s="21">
        <v>3.0</v>
      </c>
      <c r="AL550" s="20" t="s">
        <v>4</v>
      </c>
      <c r="AM550" s="20" t="s">
        <v>50</v>
      </c>
      <c r="AN550" s="21">
        <v>1412.0</v>
      </c>
      <c r="AO550" s="21">
        <v>10.0</v>
      </c>
      <c r="AP550" s="20">
        <v>115738.0</v>
      </c>
      <c r="AQ550" s="20">
        <v>836.86</v>
      </c>
    </row>
    <row r="551" ht="22.5" hidden="1" customHeight="1">
      <c r="AJ551" s="20" t="s">
        <v>65</v>
      </c>
      <c r="AK551" s="21">
        <v>2.0</v>
      </c>
      <c r="AL551" s="20" t="s">
        <v>5</v>
      </c>
      <c r="AM551" s="20" t="s">
        <v>53</v>
      </c>
      <c r="AN551" s="21">
        <v>131972.0</v>
      </c>
      <c r="AO551" s="21">
        <v>20.0</v>
      </c>
      <c r="AP551" s="20">
        <v>160641.0</v>
      </c>
      <c r="AQ551" s="20">
        <v>837.56</v>
      </c>
    </row>
    <row r="552" ht="22.5" hidden="1" customHeight="1">
      <c r="AJ552" s="20" t="s">
        <v>65</v>
      </c>
      <c r="AK552" s="21">
        <v>3.0</v>
      </c>
      <c r="AL552" s="20" t="s">
        <v>3</v>
      </c>
      <c r="AM552" s="20" t="s">
        <v>50</v>
      </c>
      <c r="AN552" s="21">
        <v>2948.0</v>
      </c>
      <c r="AO552" s="21">
        <v>20.0</v>
      </c>
      <c r="AP552" s="20">
        <v>115738.0</v>
      </c>
      <c r="AQ552" s="20">
        <v>838.88</v>
      </c>
    </row>
    <row r="553" ht="22.5" hidden="1" customHeight="1">
      <c r="AJ553" s="20" t="s">
        <v>65</v>
      </c>
      <c r="AK553" s="21">
        <v>2.0</v>
      </c>
      <c r="AL553" s="20" t="s">
        <v>5</v>
      </c>
      <c r="AM553" s="20" t="s">
        <v>54</v>
      </c>
      <c r="AN553" s="21">
        <v>33668.0</v>
      </c>
      <c r="AO553" s="21">
        <v>20.0</v>
      </c>
      <c r="AP553" s="20">
        <v>179719.0</v>
      </c>
      <c r="AQ553" s="20">
        <v>839.89</v>
      </c>
    </row>
    <row r="554" ht="22.5" hidden="1" customHeight="1">
      <c r="AJ554" s="20" t="s">
        <v>65</v>
      </c>
      <c r="AK554" s="21">
        <v>3.0</v>
      </c>
      <c r="AL554" s="20" t="s">
        <v>4</v>
      </c>
      <c r="AM554" s="20" t="s">
        <v>50</v>
      </c>
      <c r="AN554" s="21">
        <v>66436.0</v>
      </c>
      <c r="AO554" s="21">
        <v>10.0</v>
      </c>
      <c r="AP554" s="20">
        <v>115738.0</v>
      </c>
      <c r="AQ554" s="20">
        <v>841.35</v>
      </c>
    </row>
    <row r="555" ht="22.5" hidden="1" customHeight="1">
      <c r="AJ555" s="20" t="s">
        <v>65</v>
      </c>
      <c r="AK555" s="21">
        <v>2.0</v>
      </c>
      <c r="AL555" s="20" t="s">
        <v>2</v>
      </c>
      <c r="AM555" s="20" t="s">
        <v>53</v>
      </c>
      <c r="AN555" s="21">
        <v>1924.0</v>
      </c>
      <c r="AO555" s="21">
        <v>10.0</v>
      </c>
      <c r="AP555" s="20">
        <v>160641.0</v>
      </c>
      <c r="AQ555" s="20">
        <v>842.08</v>
      </c>
    </row>
    <row r="556" ht="22.5" hidden="1" customHeight="1">
      <c r="AJ556" s="20" t="s">
        <v>65</v>
      </c>
      <c r="AK556" s="21">
        <v>3.0</v>
      </c>
      <c r="AL556" s="20" t="s">
        <v>5</v>
      </c>
      <c r="AM556" s="20" t="s">
        <v>50</v>
      </c>
      <c r="AN556" s="21">
        <v>1412.0</v>
      </c>
      <c r="AO556" s="21">
        <v>20.0</v>
      </c>
      <c r="AP556" s="20">
        <v>115738.0</v>
      </c>
      <c r="AQ556" s="20">
        <v>848.72</v>
      </c>
    </row>
    <row r="557" ht="22.5" hidden="1" customHeight="1">
      <c r="AJ557" s="20" t="s">
        <v>65</v>
      </c>
      <c r="AK557" s="21">
        <v>3.0</v>
      </c>
      <c r="AL557" s="20" t="s">
        <v>4</v>
      </c>
      <c r="AM557" s="20" t="s">
        <v>50</v>
      </c>
      <c r="AN557" s="21">
        <v>4996.0</v>
      </c>
      <c r="AO557" s="21">
        <v>10.0</v>
      </c>
      <c r="AP557" s="20">
        <v>115738.0</v>
      </c>
      <c r="AQ557" s="20">
        <v>850.37</v>
      </c>
    </row>
    <row r="558" ht="22.5" hidden="1" customHeight="1">
      <c r="AJ558" s="20" t="s">
        <v>65</v>
      </c>
      <c r="AK558" s="21">
        <v>2.0</v>
      </c>
      <c r="AL558" s="20" t="s">
        <v>4</v>
      </c>
      <c r="AM558" s="20" t="s">
        <v>53</v>
      </c>
      <c r="AN558" s="21">
        <v>17284.0</v>
      </c>
      <c r="AO558" s="21">
        <v>10.0</v>
      </c>
      <c r="AP558" s="20">
        <v>160641.0</v>
      </c>
      <c r="AQ558" s="20">
        <v>851.9</v>
      </c>
    </row>
    <row r="559" ht="22.5" hidden="1" customHeight="1">
      <c r="AJ559" s="20" t="s">
        <v>65</v>
      </c>
      <c r="AK559" s="21">
        <v>3.0</v>
      </c>
      <c r="AL559" s="20" t="s">
        <v>4</v>
      </c>
      <c r="AM559" s="20" t="s">
        <v>51</v>
      </c>
      <c r="AN559" s="21">
        <v>2948.0</v>
      </c>
      <c r="AO559" s="21">
        <v>10.0</v>
      </c>
      <c r="AP559" s="20">
        <v>107179.0</v>
      </c>
      <c r="AQ559" s="20">
        <v>852.16</v>
      </c>
    </row>
    <row r="560" ht="22.5" hidden="1" customHeight="1">
      <c r="AJ560" s="20" t="s">
        <v>65</v>
      </c>
      <c r="AK560" s="21">
        <v>3.0</v>
      </c>
      <c r="AL560" s="20" t="s">
        <v>2</v>
      </c>
      <c r="AM560" s="20" t="s">
        <v>50</v>
      </c>
      <c r="AN560" s="21">
        <v>4996.0</v>
      </c>
      <c r="AO560" s="21">
        <v>10.0</v>
      </c>
      <c r="AP560" s="20">
        <v>115738.0</v>
      </c>
      <c r="AQ560" s="20">
        <v>852.54</v>
      </c>
    </row>
    <row r="561" ht="22.5" hidden="1" customHeight="1">
      <c r="AJ561" s="20" t="s">
        <v>65</v>
      </c>
      <c r="AK561" s="21">
        <v>3.0</v>
      </c>
      <c r="AL561" s="20" t="s">
        <v>3</v>
      </c>
      <c r="AM561" s="20" t="s">
        <v>50</v>
      </c>
      <c r="AN561" s="21">
        <v>1412.0</v>
      </c>
      <c r="AO561" s="21">
        <v>20.0</v>
      </c>
      <c r="AP561" s="20">
        <v>115738.0</v>
      </c>
      <c r="AQ561" s="20">
        <v>852.87</v>
      </c>
    </row>
    <row r="562" ht="22.5" hidden="1" customHeight="1">
      <c r="AJ562" s="20" t="s">
        <v>65</v>
      </c>
      <c r="AK562" s="21">
        <v>2.0</v>
      </c>
      <c r="AL562" s="20" t="s">
        <v>5</v>
      </c>
      <c r="AM562" s="20" t="s">
        <v>52</v>
      </c>
      <c r="AN562" s="21">
        <v>66436.0</v>
      </c>
      <c r="AO562" s="21">
        <v>20.0</v>
      </c>
      <c r="AP562" s="20">
        <v>182076.0</v>
      </c>
      <c r="AQ562" s="20">
        <v>853.25</v>
      </c>
    </row>
    <row r="563" ht="22.5" hidden="1" customHeight="1">
      <c r="AJ563" s="20" t="s">
        <v>65</v>
      </c>
      <c r="AK563" s="21">
        <v>2.0</v>
      </c>
      <c r="AL563" s="20" t="s">
        <v>3</v>
      </c>
      <c r="AM563" s="20" t="s">
        <v>54</v>
      </c>
      <c r="AN563" s="21">
        <v>4996.0</v>
      </c>
      <c r="AO563" s="21">
        <v>20.0</v>
      </c>
      <c r="AP563" s="20">
        <v>179699.0</v>
      </c>
      <c r="AQ563" s="20">
        <v>853.28</v>
      </c>
    </row>
    <row r="564" ht="22.5" hidden="1" customHeight="1">
      <c r="AJ564" s="20" t="s">
        <v>65</v>
      </c>
      <c r="AK564" s="21">
        <v>3.0</v>
      </c>
      <c r="AL564" s="20" t="s">
        <v>2</v>
      </c>
      <c r="AM564" s="20" t="s">
        <v>50</v>
      </c>
      <c r="AN564" s="21">
        <v>1156.0</v>
      </c>
      <c r="AO564" s="21">
        <v>10.0</v>
      </c>
      <c r="AP564" s="20">
        <v>115758.0</v>
      </c>
      <c r="AQ564" s="20">
        <v>854.12</v>
      </c>
    </row>
    <row r="565" ht="22.5" hidden="1" customHeight="1">
      <c r="AJ565" s="20" t="s">
        <v>65</v>
      </c>
      <c r="AK565" s="21">
        <v>2.0</v>
      </c>
      <c r="AL565" s="20" t="s">
        <v>4</v>
      </c>
      <c r="AM565" s="20" t="s">
        <v>53</v>
      </c>
      <c r="AN565" s="21">
        <v>66436.0</v>
      </c>
      <c r="AO565" s="21">
        <v>10.0</v>
      </c>
      <c r="AP565" s="20">
        <v>160641.0</v>
      </c>
      <c r="AQ565" s="20">
        <v>854.73</v>
      </c>
    </row>
    <row r="566" ht="22.5" hidden="1" customHeight="1">
      <c r="AJ566" s="20" t="s">
        <v>65</v>
      </c>
      <c r="AK566" s="21">
        <v>3.0</v>
      </c>
      <c r="AL566" s="20" t="s">
        <v>4</v>
      </c>
      <c r="AM566" s="20" t="s">
        <v>50</v>
      </c>
      <c r="AN566" s="21">
        <v>33668.0</v>
      </c>
      <c r="AO566" s="21">
        <v>10.0</v>
      </c>
      <c r="AP566" s="20">
        <v>115738.0</v>
      </c>
      <c r="AQ566" s="20">
        <v>854.96</v>
      </c>
    </row>
    <row r="567" ht="22.5" hidden="1" customHeight="1">
      <c r="AJ567" s="20" t="s">
        <v>65</v>
      </c>
      <c r="AK567" s="21">
        <v>2.0</v>
      </c>
      <c r="AL567" s="20" t="s">
        <v>5</v>
      </c>
      <c r="AM567" s="20" t="s">
        <v>54</v>
      </c>
      <c r="AN567" s="21">
        <v>1924.0</v>
      </c>
      <c r="AO567" s="21">
        <v>20.0</v>
      </c>
      <c r="AP567" s="20">
        <v>179699.0</v>
      </c>
      <c r="AQ567" s="20">
        <v>855.12</v>
      </c>
    </row>
    <row r="568" ht="22.5" hidden="1" customHeight="1">
      <c r="AJ568" s="20" t="s">
        <v>65</v>
      </c>
      <c r="AK568" s="21">
        <v>2.0</v>
      </c>
      <c r="AL568" s="20" t="s">
        <v>5</v>
      </c>
      <c r="AM568" s="20" t="s">
        <v>53</v>
      </c>
      <c r="AN568" s="21">
        <v>1412.0</v>
      </c>
      <c r="AO568" s="21">
        <v>20.0</v>
      </c>
      <c r="AP568" s="20">
        <v>160641.0</v>
      </c>
      <c r="AQ568" s="20">
        <v>855.21</v>
      </c>
    </row>
    <row r="569" ht="22.5" hidden="1" customHeight="1">
      <c r="AJ569" s="20" t="s">
        <v>65</v>
      </c>
      <c r="AK569" s="21">
        <v>3.0</v>
      </c>
      <c r="AL569" s="20" t="s">
        <v>4</v>
      </c>
      <c r="AM569" s="20" t="s">
        <v>51</v>
      </c>
      <c r="AN569" s="21">
        <v>33668.0</v>
      </c>
      <c r="AO569" s="21">
        <v>10.0</v>
      </c>
      <c r="AP569" s="20">
        <v>107179.0</v>
      </c>
      <c r="AQ569" s="20">
        <v>857.57</v>
      </c>
    </row>
    <row r="570" ht="22.5" hidden="1" customHeight="1">
      <c r="AJ570" s="20" t="s">
        <v>65</v>
      </c>
      <c r="AK570" s="21">
        <v>2.0</v>
      </c>
      <c r="AL570" s="20" t="s">
        <v>5</v>
      </c>
      <c r="AM570" s="20" t="s">
        <v>53</v>
      </c>
      <c r="AN570" s="21">
        <v>9092.0</v>
      </c>
      <c r="AO570" s="21">
        <v>20.0</v>
      </c>
      <c r="AP570" s="20">
        <v>160641.0</v>
      </c>
      <c r="AQ570" s="20">
        <v>858.42</v>
      </c>
    </row>
    <row r="571" ht="22.5" hidden="1" customHeight="1">
      <c r="AJ571" s="20" t="s">
        <v>65</v>
      </c>
      <c r="AK571" s="21">
        <v>3.0</v>
      </c>
      <c r="AL571" s="20" t="s">
        <v>2</v>
      </c>
      <c r="AM571" s="20" t="s">
        <v>51</v>
      </c>
      <c r="AN571" s="21">
        <v>2948.0</v>
      </c>
      <c r="AO571" s="21">
        <v>10.0</v>
      </c>
      <c r="AP571" s="20">
        <v>107179.0</v>
      </c>
      <c r="AQ571" s="20">
        <v>858.55</v>
      </c>
    </row>
    <row r="572" ht="22.5" hidden="1" customHeight="1">
      <c r="AJ572" s="20" t="s">
        <v>65</v>
      </c>
      <c r="AK572" s="21">
        <v>3.0</v>
      </c>
      <c r="AL572" s="20" t="s">
        <v>4</v>
      </c>
      <c r="AM572" s="20" t="s">
        <v>51</v>
      </c>
      <c r="AN572" s="21">
        <v>17284.0</v>
      </c>
      <c r="AO572" s="21">
        <v>10.0</v>
      </c>
      <c r="AP572" s="20">
        <v>107179.0</v>
      </c>
      <c r="AQ572" s="20">
        <v>858.56</v>
      </c>
    </row>
    <row r="573" ht="22.5" hidden="1" customHeight="1">
      <c r="AJ573" s="20" t="s">
        <v>65</v>
      </c>
      <c r="AK573" s="21">
        <v>2.0</v>
      </c>
      <c r="AL573" s="20" t="s">
        <v>4</v>
      </c>
      <c r="AM573" s="20" t="s">
        <v>53</v>
      </c>
      <c r="AN573" s="21">
        <v>9092.0</v>
      </c>
      <c r="AO573" s="21">
        <v>10.0</v>
      </c>
      <c r="AP573" s="20">
        <v>160641.0</v>
      </c>
      <c r="AQ573" s="20">
        <v>859.44</v>
      </c>
    </row>
    <row r="574" ht="22.5" hidden="1" customHeight="1">
      <c r="AJ574" s="20" t="s">
        <v>65</v>
      </c>
      <c r="AK574" s="21">
        <v>2.0</v>
      </c>
      <c r="AL574" s="20" t="s">
        <v>5</v>
      </c>
      <c r="AM574" s="20" t="s">
        <v>53</v>
      </c>
      <c r="AN574" s="21">
        <v>1924.0</v>
      </c>
      <c r="AO574" s="21">
        <v>20.0</v>
      </c>
      <c r="AP574" s="20">
        <v>160641.0</v>
      </c>
      <c r="AQ574" s="20">
        <v>859.65</v>
      </c>
    </row>
    <row r="575" ht="22.5" hidden="1" customHeight="1">
      <c r="AJ575" s="20" t="s">
        <v>65</v>
      </c>
      <c r="AK575" s="21">
        <v>3.0</v>
      </c>
      <c r="AL575" s="20" t="s">
        <v>5</v>
      </c>
      <c r="AM575" s="20" t="s">
        <v>50</v>
      </c>
      <c r="AN575" s="21">
        <v>1924.0</v>
      </c>
      <c r="AO575" s="21">
        <v>20.0</v>
      </c>
      <c r="AP575" s="20">
        <v>115738.0</v>
      </c>
      <c r="AQ575" s="20">
        <v>861.8</v>
      </c>
    </row>
    <row r="576" ht="22.5" hidden="1" customHeight="1">
      <c r="AJ576" s="20" t="s">
        <v>65</v>
      </c>
      <c r="AK576" s="21">
        <v>2.0</v>
      </c>
      <c r="AL576" s="20" t="s">
        <v>4</v>
      </c>
      <c r="AM576" s="20" t="s">
        <v>53</v>
      </c>
      <c r="AN576" s="21">
        <v>1156.0</v>
      </c>
      <c r="AO576" s="21">
        <v>10.0</v>
      </c>
      <c r="AP576" s="20">
        <v>160641.0</v>
      </c>
      <c r="AQ576" s="20">
        <v>862.76</v>
      </c>
    </row>
    <row r="577" ht="22.5" hidden="1" customHeight="1">
      <c r="AJ577" s="20" t="s">
        <v>65</v>
      </c>
      <c r="AK577" s="21">
        <v>3.0</v>
      </c>
      <c r="AL577" s="20" t="s">
        <v>4</v>
      </c>
      <c r="AM577" s="20" t="s">
        <v>49</v>
      </c>
      <c r="AN577" s="21">
        <v>66436.0</v>
      </c>
      <c r="AO577" s="21">
        <v>10.0</v>
      </c>
      <c r="AP577" s="20">
        <v>117921.0</v>
      </c>
      <c r="AQ577" s="20">
        <v>864.32</v>
      </c>
    </row>
    <row r="578" ht="22.5" hidden="1" customHeight="1">
      <c r="AJ578" s="20" t="s">
        <v>65</v>
      </c>
      <c r="AK578" s="21">
        <v>2.0</v>
      </c>
      <c r="AL578" s="20" t="s">
        <v>5</v>
      </c>
      <c r="AM578" s="20" t="s">
        <v>53</v>
      </c>
      <c r="AN578" s="21">
        <v>2948.0</v>
      </c>
      <c r="AO578" s="21">
        <v>20.0</v>
      </c>
      <c r="AP578" s="20">
        <v>160641.0</v>
      </c>
      <c r="AQ578" s="20">
        <v>864.41</v>
      </c>
    </row>
    <row r="579" ht="22.5" hidden="1" customHeight="1">
      <c r="AJ579" s="20" t="s">
        <v>65</v>
      </c>
      <c r="AK579" s="21">
        <v>3.0</v>
      </c>
      <c r="AL579" s="20" t="s">
        <v>4</v>
      </c>
      <c r="AM579" s="20" t="s">
        <v>51</v>
      </c>
      <c r="AN579" s="21">
        <v>66436.0</v>
      </c>
      <c r="AO579" s="21">
        <v>10.0</v>
      </c>
      <c r="AP579" s="20">
        <v>107179.0</v>
      </c>
      <c r="AQ579" s="20">
        <v>865.48</v>
      </c>
    </row>
    <row r="580" ht="22.5" hidden="1" customHeight="1">
      <c r="AJ580" s="20" t="s">
        <v>65</v>
      </c>
      <c r="AK580" s="21">
        <v>3.0</v>
      </c>
      <c r="AL580" s="20" t="s">
        <v>4</v>
      </c>
      <c r="AM580" s="20" t="s">
        <v>50</v>
      </c>
      <c r="AN580" s="21">
        <v>1156.0</v>
      </c>
      <c r="AO580" s="21">
        <v>10.0</v>
      </c>
      <c r="AP580" s="20">
        <v>115758.0</v>
      </c>
      <c r="AQ580" s="20">
        <v>866.01</v>
      </c>
    </row>
    <row r="581" ht="22.5" hidden="1" customHeight="1">
      <c r="AJ581" s="20" t="s">
        <v>65</v>
      </c>
      <c r="AK581" s="21">
        <v>2.0</v>
      </c>
      <c r="AL581" s="20" t="s">
        <v>3</v>
      </c>
      <c r="AM581" s="20" t="s">
        <v>53</v>
      </c>
      <c r="AN581" s="21">
        <v>1924.0</v>
      </c>
      <c r="AO581" s="21">
        <v>20.0</v>
      </c>
      <c r="AP581" s="20">
        <v>160641.0</v>
      </c>
      <c r="AQ581" s="20">
        <v>866.09</v>
      </c>
    </row>
    <row r="582" ht="22.5" hidden="1" customHeight="1">
      <c r="AJ582" s="20" t="s">
        <v>65</v>
      </c>
      <c r="AK582" s="21">
        <v>5.0</v>
      </c>
      <c r="AL582" s="20" t="s">
        <v>2</v>
      </c>
      <c r="AM582" s="20" t="s">
        <v>47</v>
      </c>
      <c r="AN582" s="21">
        <v>2948.0</v>
      </c>
      <c r="AO582" s="21">
        <v>10.0</v>
      </c>
      <c r="AP582" s="20">
        <v>54844.0</v>
      </c>
      <c r="AQ582" s="20">
        <v>866.16</v>
      </c>
    </row>
    <row r="583" ht="22.5" hidden="1" customHeight="1">
      <c r="AJ583" s="20" t="s">
        <v>65</v>
      </c>
      <c r="AK583" s="21">
        <v>3.0</v>
      </c>
      <c r="AL583" s="20" t="s">
        <v>3</v>
      </c>
      <c r="AM583" s="20" t="s">
        <v>50</v>
      </c>
      <c r="AN583" s="21">
        <v>4996.0</v>
      </c>
      <c r="AO583" s="21">
        <v>20.0</v>
      </c>
      <c r="AP583" s="20">
        <v>115738.0</v>
      </c>
      <c r="AQ583" s="20">
        <v>866.23</v>
      </c>
    </row>
    <row r="584" ht="22.5" hidden="1" customHeight="1">
      <c r="AJ584" s="20" t="s">
        <v>65</v>
      </c>
      <c r="AK584" s="21">
        <v>2.0</v>
      </c>
      <c r="AL584" s="20" t="s">
        <v>5</v>
      </c>
      <c r="AM584" s="20" t="s">
        <v>53</v>
      </c>
      <c r="AN584" s="21">
        <v>66436.0</v>
      </c>
      <c r="AO584" s="21">
        <v>20.0</v>
      </c>
      <c r="AP584" s="20">
        <v>160641.0</v>
      </c>
      <c r="AQ584" s="20">
        <v>866.28</v>
      </c>
    </row>
    <row r="585" ht="22.5" hidden="1" customHeight="1">
      <c r="AJ585" s="20" t="s">
        <v>65</v>
      </c>
      <c r="AK585" s="21">
        <v>2.0</v>
      </c>
      <c r="AL585" s="20" t="s">
        <v>3</v>
      </c>
      <c r="AM585" s="20" t="s">
        <v>54</v>
      </c>
      <c r="AN585" s="21">
        <v>1924.0</v>
      </c>
      <c r="AO585" s="21">
        <v>20.0</v>
      </c>
      <c r="AP585" s="20">
        <v>179699.0</v>
      </c>
      <c r="AQ585" s="20">
        <v>866.55</v>
      </c>
    </row>
    <row r="586" ht="22.5" hidden="1" customHeight="1">
      <c r="AJ586" s="20" t="s">
        <v>65</v>
      </c>
      <c r="AK586" s="21">
        <v>2.0</v>
      </c>
      <c r="AL586" s="20" t="s">
        <v>3</v>
      </c>
      <c r="AM586" s="20" t="s">
        <v>53</v>
      </c>
      <c r="AN586" s="21">
        <v>1412.0</v>
      </c>
      <c r="AO586" s="21">
        <v>20.0</v>
      </c>
      <c r="AP586" s="20">
        <v>160641.0</v>
      </c>
      <c r="AQ586" s="20">
        <v>868.51</v>
      </c>
    </row>
    <row r="587" ht="22.5" hidden="1" customHeight="1">
      <c r="AJ587" s="20" t="s">
        <v>65</v>
      </c>
      <c r="AK587" s="21">
        <v>3.0</v>
      </c>
      <c r="AL587" s="20" t="s">
        <v>2</v>
      </c>
      <c r="AM587" s="20" t="s">
        <v>49</v>
      </c>
      <c r="AN587" s="21">
        <v>1412.0</v>
      </c>
      <c r="AO587" s="21">
        <v>10.0</v>
      </c>
      <c r="AP587" s="20">
        <v>117921.0</v>
      </c>
      <c r="AQ587" s="20">
        <v>869.15</v>
      </c>
    </row>
    <row r="588" ht="22.5" hidden="1" customHeight="1">
      <c r="AJ588" s="20" t="s">
        <v>65</v>
      </c>
      <c r="AK588" s="21">
        <v>3.0</v>
      </c>
      <c r="AL588" s="20" t="s">
        <v>5</v>
      </c>
      <c r="AM588" s="20" t="s">
        <v>50</v>
      </c>
      <c r="AN588" s="21">
        <v>4996.0</v>
      </c>
      <c r="AO588" s="21">
        <v>20.0</v>
      </c>
      <c r="AP588" s="20">
        <v>115738.0</v>
      </c>
      <c r="AQ588" s="20">
        <v>869.8</v>
      </c>
    </row>
    <row r="589" ht="22.5" hidden="1" customHeight="1">
      <c r="AJ589" s="20" t="s">
        <v>65</v>
      </c>
      <c r="AK589" s="21">
        <v>3.0</v>
      </c>
      <c r="AL589" s="20" t="s">
        <v>4</v>
      </c>
      <c r="AM589" s="20" t="s">
        <v>50</v>
      </c>
      <c r="AN589" s="21">
        <v>131972.0</v>
      </c>
      <c r="AO589" s="21">
        <v>10.0</v>
      </c>
      <c r="AP589" s="20">
        <v>115738.0</v>
      </c>
      <c r="AQ589" s="20">
        <v>869.92</v>
      </c>
    </row>
    <row r="590" ht="22.5" hidden="1" customHeight="1">
      <c r="AJ590" s="20" t="s">
        <v>65</v>
      </c>
      <c r="AK590" s="21">
        <v>3.0</v>
      </c>
      <c r="AL590" s="20" t="s">
        <v>4</v>
      </c>
      <c r="AM590" s="20" t="s">
        <v>55</v>
      </c>
      <c r="AN590" s="21">
        <v>33668.0</v>
      </c>
      <c r="AO590" s="21">
        <v>10.0</v>
      </c>
      <c r="AP590" s="20">
        <v>114430.0</v>
      </c>
      <c r="AQ590" s="20">
        <v>870.57</v>
      </c>
    </row>
    <row r="591" ht="22.5" hidden="1" customHeight="1">
      <c r="AJ591" s="20" t="s">
        <v>65</v>
      </c>
      <c r="AK591" s="21">
        <v>3.0</v>
      </c>
      <c r="AL591" s="20" t="s">
        <v>4</v>
      </c>
      <c r="AM591" s="20" t="s">
        <v>49</v>
      </c>
      <c r="AN591" s="21">
        <v>33668.0</v>
      </c>
      <c r="AO591" s="21">
        <v>10.0</v>
      </c>
      <c r="AP591" s="20">
        <v>117921.0</v>
      </c>
      <c r="AQ591" s="20">
        <v>871.23</v>
      </c>
    </row>
    <row r="592" ht="22.5" hidden="1" customHeight="1">
      <c r="AJ592" s="20" t="s">
        <v>65</v>
      </c>
      <c r="AK592" s="21">
        <v>3.0</v>
      </c>
      <c r="AL592" s="20" t="s">
        <v>4</v>
      </c>
      <c r="AM592" s="20" t="s">
        <v>49</v>
      </c>
      <c r="AN592" s="21">
        <v>1412.0</v>
      </c>
      <c r="AO592" s="21">
        <v>10.0</v>
      </c>
      <c r="AP592" s="20">
        <v>117921.0</v>
      </c>
      <c r="AQ592" s="20">
        <v>871.49</v>
      </c>
    </row>
    <row r="593" ht="22.5" hidden="1" customHeight="1">
      <c r="AJ593" s="20" t="s">
        <v>65</v>
      </c>
      <c r="AK593" s="21">
        <v>2.0</v>
      </c>
      <c r="AL593" s="20" t="s">
        <v>5</v>
      </c>
      <c r="AM593" s="20" t="s">
        <v>53</v>
      </c>
      <c r="AN593" s="21">
        <v>17284.0</v>
      </c>
      <c r="AO593" s="21">
        <v>20.0</v>
      </c>
      <c r="AP593" s="20">
        <v>160641.0</v>
      </c>
      <c r="AQ593" s="20">
        <v>873.47</v>
      </c>
    </row>
    <row r="594" ht="22.5" hidden="1" customHeight="1">
      <c r="AJ594" s="20" t="s">
        <v>65</v>
      </c>
      <c r="AK594" s="21">
        <v>3.0</v>
      </c>
      <c r="AL594" s="20" t="s">
        <v>5</v>
      </c>
      <c r="AM594" s="20" t="s">
        <v>51</v>
      </c>
      <c r="AN594" s="21">
        <v>2948.0</v>
      </c>
      <c r="AO594" s="21">
        <v>20.0</v>
      </c>
      <c r="AP594" s="20">
        <v>107179.0</v>
      </c>
      <c r="AQ594" s="20">
        <v>873.66</v>
      </c>
    </row>
    <row r="595" ht="22.5" hidden="1" customHeight="1">
      <c r="AJ595" s="20" t="s">
        <v>65</v>
      </c>
      <c r="AK595" s="21">
        <v>3.0</v>
      </c>
      <c r="AL595" s="20" t="s">
        <v>4</v>
      </c>
      <c r="AM595" s="20" t="s">
        <v>55</v>
      </c>
      <c r="AN595" s="21">
        <v>66436.0</v>
      </c>
      <c r="AO595" s="21">
        <v>10.0</v>
      </c>
      <c r="AP595" s="20">
        <v>114430.0</v>
      </c>
      <c r="AQ595" s="20">
        <v>873.69</v>
      </c>
    </row>
    <row r="596" ht="22.5" hidden="1" customHeight="1">
      <c r="AJ596" s="20" t="s">
        <v>65</v>
      </c>
      <c r="AK596" s="21">
        <v>3.0</v>
      </c>
      <c r="AL596" s="20" t="s">
        <v>2</v>
      </c>
      <c r="AM596" s="20" t="s">
        <v>49</v>
      </c>
      <c r="AN596" s="21">
        <v>1924.0</v>
      </c>
      <c r="AO596" s="21">
        <v>10.0</v>
      </c>
      <c r="AP596" s="20">
        <v>117921.0</v>
      </c>
      <c r="AQ596" s="20">
        <v>874.97</v>
      </c>
    </row>
    <row r="597" ht="22.5" hidden="1" customHeight="1">
      <c r="AJ597" s="20" t="s">
        <v>65</v>
      </c>
      <c r="AK597" s="21">
        <v>2.0</v>
      </c>
      <c r="AL597" s="20" t="s">
        <v>2</v>
      </c>
      <c r="AM597" s="20" t="s">
        <v>53</v>
      </c>
      <c r="AN597" s="21">
        <v>1156.0</v>
      </c>
      <c r="AO597" s="21">
        <v>10.0</v>
      </c>
      <c r="AP597" s="20">
        <v>160641.0</v>
      </c>
      <c r="AQ597" s="20">
        <v>875.3</v>
      </c>
    </row>
    <row r="598" ht="22.5" hidden="1" customHeight="1">
      <c r="AJ598" s="20" t="s">
        <v>65</v>
      </c>
      <c r="AK598" s="21">
        <v>2.0</v>
      </c>
      <c r="AL598" s="20" t="s">
        <v>5</v>
      </c>
      <c r="AM598" s="20" t="s">
        <v>53</v>
      </c>
      <c r="AN598" s="21">
        <v>1156.0</v>
      </c>
      <c r="AO598" s="21">
        <v>20.0</v>
      </c>
      <c r="AP598" s="20">
        <v>160641.0</v>
      </c>
      <c r="AQ598" s="20">
        <v>875.34</v>
      </c>
    </row>
    <row r="599" ht="22.5" hidden="1" customHeight="1">
      <c r="AJ599" s="20" t="s">
        <v>65</v>
      </c>
      <c r="AK599" s="21">
        <v>3.0</v>
      </c>
      <c r="AL599" s="20" t="s">
        <v>4</v>
      </c>
      <c r="AM599" s="20" t="s">
        <v>51</v>
      </c>
      <c r="AN599" s="21">
        <v>1412.0</v>
      </c>
      <c r="AO599" s="21">
        <v>10.0</v>
      </c>
      <c r="AP599" s="20">
        <v>107179.0</v>
      </c>
      <c r="AQ599" s="20">
        <v>876.17</v>
      </c>
    </row>
    <row r="600" ht="22.5" hidden="1" customHeight="1">
      <c r="AJ600" s="20" t="s">
        <v>65</v>
      </c>
      <c r="AK600" s="21">
        <v>3.0</v>
      </c>
      <c r="AL600" s="20" t="s">
        <v>4</v>
      </c>
      <c r="AM600" s="20" t="s">
        <v>49</v>
      </c>
      <c r="AN600" s="21">
        <v>131972.0</v>
      </c>
      <c r="AO600" s="21">
        <v>10.0</v>
      </c>
      <c r="AP600" s="20">
        <v>117921.0</v>
      </c>
      <c r="AQ600" s="20">
        <v>876.56</v>
      </c>
    </row>
    <row r="601" ht="22.5" hidden="1" customHeight="1">
      <c r="AJ601" s="20" t="s">
        <v>65</v>
      </c>
      <c r="AK601" s="21">
        <v>3.0</v>
      </c>
      <c r="AL601" s="20" t="s">
        <v>4</v>
      </c>
      <c r="AM601" s="20" t="s">
        <v>56</v>
      </c>
      <c r="AN601" s="21">
        <v>1412.0</v>
      </c>
      <c r="AO601" s="21">
        <v>10.0</v>
      </c>
      <c r="AP601" s="20">
        <v>115862.0</v>
      </c>
      <c r="AQ601" s="20">
        <v>877.46</v>
      </c>
    </row>
    <row r="602" ht="22.5" hidden="1" customHeight="1">
      <c r="AJ602" s="20" t="s">
        <v>65</v>
      </c>
      <c r="AK602" s="21">
        <v>3.0</v>
      </c>
      <c r="AL602" s="20" t="s">
        <v>2</v>
      </c>
      <c r="AM602" s="20" t="s">
        <v>46</v>
      </c>
      <c r="AN602" s="21">
        <v>1924.0</v>
      </c>
      <c r="AO602" s="21">
        <v>10.0</v>
      </c>
      <c r="AP602" s="20">
        <v>107612.0</v>
      </c>
      <c r="AQ602" s="20">
        <v>877.78</v>
      </c>
    </row>
    <row r="603" ht="22.5" hidden="1" customHeight="1">
      <c r="AJ603" s="20" t="s">
        <v>65</v>
      </c>
      <c r="AK603" s="21">
        <v>3.0</v>
      </c>
      <c r="AL603" s="20" t="s">
        <v>5</v>
      </c>
      <c r="AM603" s="20" t="s">
        <v>50</v>
      </c>
      <c r="AN603" s="21">
        <v>17284.0</v>
      </c>
      <c r="AO603" s="21">
        <v>20.0</v>
      </c>
      <c r="AP603" s="20">
        <v>115738.0</v>
      </c>
      <c r="AQ603" s="20">
        <v>878.11</v>
      </c>
    </row>
    <row r="604" ht="22.5" hidden="1" customHeight="1">
      <c r="AJ604" s="20" t="s">
        <v>65</v>
      </c>
      <c r="AK604" s="21">
        <v>3.0</v>
      </c>
      <c r="AL604" s="20" t="s">
        <v>5</v>
      </c>
      <c r="AM604" s="20" t="s">
        <v>51</v>
      </c>
      <c r="AN604" s="21">
        <v>17284.0</v>
      </c>
      <c r="AO604" s="21">
        <v>20.0</v>
      </c>
      <c r="AP604" s="20">
        <v>107179.0</v>
      </c>
      <c r="AQ604" s="20">
        <v>878.34</v>
      </c>
    </row>
    <row r="605" ht="22.5" hidden="1" customHeight="1">
      <c r="AJ605" s="20" t="s">
        <v>65</v>
      </c>
      <c r="AK605" s="21">
        <v>3.0</v>
      </c>
      <c r="AL605" s="20" t="s">
        <v>4</v>
      </c>
      <c r="AM605" s="20" t="s">
        <v>57</v>
      </c>
      <c r="AN605" s="21">
        <v>1412.0</v>
      </c>
      <c r="AO605" s="21">
        <v>10.0</v>
      </c>
      <c r="AP605" s="20">
        <v>123736.0</v>
      </c>
      <c r="AQ605" s="20">
        <v>878.95</v>
      </c>
    </row>
    <row r="606" ht="22.5" hidden="1" customHeight="1">
      <c r="AJ606" s="20" t="s">
        <v>65</v>
      </c>
      <c r="AK606" s="21">
        <v>3.0</v>
      </c>
      <c r="AL606" s="20" t="s">
        <v>4</v>
      </c>
      <c r="AM606" s="20" t="s">
        <v>49</v>
      </c>
      <c r="AN606" s="21">
        <v>1924.0</v>
      </c>
      <c r="AO606" s="21">
        <v>10.0</v>
      </c>
      <c r="AP606" s="20">
        <v>117921.0</v>
      </c>
      <c r="AQ606" s="20">
        <v>881.0</v>
      </c>
    </row>
    <row r="607" ht="22.5" hidden="1" customHeight="1">
      <c r="AJ607" s="20" t="s">
        <v>65</v>
      </c>
      <c r="AK607" s="21">
        <v>3.0</v>
      </c>
      <c r="AL607" s="20" t="s">
        <v>2</v>
      </c>
      <c r="AM607" s="20" t="s">
        <v>49</v>
      </c>
      <c r="AN607" s="21">
        <v>1156.0</v>
      </c>
      <c r="AO607" s="21">
        <v>10.0</v>
      </c>
      <c r="AP607" s="20">
        <v>117921.0</v>
      </c>
      <c r="AQ607" s="20">
        <v>882.08</v>
      </c>
    </row>
    <row r="608" ht="22.5" hidden="1" customHeight="1">
      <c r="AJ608" s="20" t="s">
        <v>65</v>
      </c>
      <c r="AK608" s="21">
        <v>3.0</v>
      </c>
      <c r="AL608" s="20" t="s">
        <v>4</v>
      </c>
      <c r="AM608" s="20" t="s">
        <v>51</v>
      </c>
      <c r="AN608" s="21">
        <v>131972.0</v>
      </c>
      <c r="AO608" s="21">
        <v>10.0</v>
      </c>
      <c r="AP608" s="20">
        <v>107179.0</v>
      </c>
      <c r="AQ608" s="20">
        <v>882.29</v>
      </c>
    </row>
    <row r="609" ht="22.5" hidden="1" customHeight="1">
      <c r="AJ609" s="20" t="s">
        <v>65</v>
      </c>
      <c r="AK609" s="21">
        <v>3.0</v>
      </c>
      <c r="AL609" s="20" t="s">
        <v>4</v>
      </c>
      <c r="AM609" s="20" t="s">
        <v>51</v>
      </c>
      <c r="AN609" s="21">
        <v>4996.0</v>
      </c>
      <c r="AO609" s="21">
        <v>10.0</v>
      </c>
      <c r="AP609" s="20">
        <v>107179.0</v>
      </c>
      <c r="AQ609" s="20">
        <v>884.16</v>
      </c>
    </row>
    <row r="610" ht="22.5" hidden="1" customHeight="1">
      <c r="AJ610" s="20" t="s">
        <v>65</v>
      </c>
      <c r="AK610" s="21">
        <v>3.0</v>
      </c>
      <c r="AL610" s="20" t="s">
        <v>4</v>
      </c>
      <c r="AM610" s="20" t="s">
        <v>55</v>
      </c>
      <c r="AN610" s="21">
        <v>1156.0</v>
      </c>
      <c r="AO610" s="21">
        <v>10.0</v>
      </c>
      <c r="AP610" s="20">
        <v>114430.0</v>
      </c>
      <c r="AQ610" s="20">
        <v>884.68</v>
      </c>
    </row>
    <row r="611" ht="22.5" hidden="1" customHeight="1">
      <c r="AJ611" s="20" t="s">
        <v>65</v>
      </c>
      <c r="AK611" s="21">
        <v>2.0</v>
      </c>
      <c r="AL611" s="20" t="s">
        <v>3</v>
      </c>
      <c r="AM611" s="20" t="s">
        <v>53</v>
      </c>
      <c r="AN611" s="21">
        <v>2948.0</v>
      </c>
      <c r="AO611" s="21">
        <v>20.0</v>
      </c>
      <c r="AP611" s="20">
        <v>160641.0</v>
      </c>
      <c r="AQ611" s="20">
        <v>885.34</v>
      </c>
    </row>
    <row r="612" ht="22.5" hidden="1" customHeight="1">
      <c r="AJ612" s="20" t="s">
        <v>65</v>
      </c>
      <c r="AK612" s="21">
        <v>3.0</v>
      </c>
      <c r="AL612" s="20" t="s">
        <v>4</v>
      </c>
      <c r="AM612" s="20" t="s">
        <v>57</v>
      </c>
      <c r="AN612" s="21">
        <v>17284.0</v>
      </c>
      <c r="AO612" s="21">
        <v>10.0</v>
      </c>
      <c r="AP612" s="20">
        <v>123736.0</v>
      </c>
      <c r="AQ612" s="20">
        <v>885.51</v>
      </c>
    </row>
    <row r="613" ht="22.5" hidden="1" customHeight="1">
      <c r="AJ613" s="20" t="s">
        <v>65</v>
      </c>
      <c r="AK613" s="21">
        <v>3.0</v>
      </c>
      <c r="AL613" s="20" t="s">
        <v>2</v>
      </c>
      <c r="AM613" s="20" t="s">
        <v>51</v>
      </c>
      <c r="AN613" s="21">
        <v>4996.0</v>
      </c>
      <c r="AO613" s="21">
        <v>10.0</v>
      </c>
      <c r="AP613" s="20">
        <v>107179.0</v>
      </c>
      <c r="AQ613" s="20">
        <v>885.73</v>
      </c>
    </row>
    <row r="614" ht="22.5" hidden="1" customHeight="1">
      <c r="AJ614" s="20" t="s">
        <v>65</v>
      </c>
      <c r="AK614" s="21">
        <v>3.0</v>
      </c>
      <c r="AL614" s="20" t="s">
        <v>4</v>
      </c>
      <c r="AM614" s="20" t="s">
        <v>51</v>
      </c>
      <c r="AN614" s="21">
        <v>1924.0</v>
      </c>
      <c r="AO614" s="21">
        <v>10.0</v>
      </c>
      <c r="AP614" s="20">
        <v>107179.0</v>
      </c>
      <c r="AQ614" s="20">
        <v>886.0</v>
      </c>
    </row>
    <row r="615" ht="22.5" hidden="1" customHeight="1">
      <c r="AJ615" s="20" t="s">
        <v>65</v>
      </c>
      <c r="AK615" s="21">
        <v>2.0</v>
      </c>
      <c r="AL615" s="20" t="s">
        <v>4</v>
      </c>
      <c r="AM615" s="20" t="s">
        <v>53</v>
      </c>
      <c r="AN615" s="21">
        <v>4996.0</v>
      </c>
      <c r="AO615" s="21">
        <v>10.0</v>
      </c>
      <c r="AP615" s="20">
        <v>160641.0</v>
      </c>
      <c r="AQ615" s="20">
        <v>886.1</v>
      </c>
    </row>
    <row r="616" ht="22.5" hidden="1" customHeight="1">
      <c r="AJ616" s="20" t="s">
        <v>65</v>
      </c>
      <c r="AK616" s="21">
        <v>3.0</v>
      </c>
      <c r="AL616" s="20" t="s">
        <v>2</v>
      </c>
      <c r="AM616" s="20" t="s">
        <v>57</v>
      </c>
      <c r="AN616" s="21">
        <v>1412.0</v>
      </c>
      <c r="AO616" s="21">
        <v>10.0</v>
      </c>
      <c r="AP616" s="20">
        <v>123736.0</v>
      </c>
      <c r="AQ616" s="20">
        <v>886.14</v>
      </c>
    </row>
    <row r="617" ht="22.5" hidden="1" customHeight="1">
      <c r="AJ617" s="20" t="s">
        <v>65</v>
      </c>
      <c r="AK617" s="21">
        <v>3.0</v>
      </c>
      <c r="AL617" s="20" t="s">
        <v>5</v>
      </c>
      <c r="AM617" s="20" t="s">
        <v>50</v>
      </c>
      <c r="AN617" s="21">
        <v>66436.0</v>
      </c>
      <c r="AO617" s="21">
        <v>20.0</v>
      </c>
      <c r="AP617" s="20">
        <v>115738.0</v>
      </c>
      <c r="AQ617" s="20">
        <v>886.68</v>
      </c>
    </row>
    <row r="618" ht="22.5" hidden="1" customHeight="1">
      <c r="AJ618" s="20" t="s">
        <v>65</v>
      </c>
      <c r="AK618" s="21">
        <v>3.0</v>
      </c>
      <c r="AL618" s="20" t="s">
        <v>4</v>
      </c>
      <c r="AM618" s="20" t="s">
        <v>57</v>
      </c>
      <c r="AN618" s="21">
        <v>9092.0</v>
      </c>
      <c r="AO618" s="21">
        <v>10.0</v>
      </c>
      <c r="AP618" s="20">
        <v>123736.0</v>
      </c>
      <c r="AQ618" s="20">
        <v>886.89</v>
      </c>
    </row>
    <row r="619" ht="22.5" hidden="1" customHeight="1">
      <c r="AJ619" s="20" t="s">
        <v>65</v>
      </c>
      <c r="AK619" s="21">
        <v>3.0</v>
      </c>
      <c r="AL619" s="20" t="s">
        <v>4</v>
      </c>
      <c r="AM619" s="20" t="s">
        <v>49</v>
      </c>
      <c r="AN619" s="21">
        <v>1156.0</v>
      </c>
      <c r="AO619" s="21">
        <v>10.0</v>
      </c>
      <c r="AP619" s="20">
        <v>117921.0</v>
      </c>
      <c r="AQ619" s="20">
        <v>887.65</v>
      </c>
    </row>
    <row r="620" ht="22.5" hidden="1" customHeight="1">
      <c r="AJ620" s="20" t="s">
        <v>65</v>
      </c>
      <c r="AK620" s="21">
        <v>3.0</v>
      </c>
      <c r="AL620" s="20" t="s">
        <v>5</v>
      </c>
      <c r="AM620" s="20" t="s">
        <v>51</v>
      </c>
      <c r="AN620" s="21">
        <v>33668.0</v>
      </c>
      <c r="AO620" s="21">
        <v>20.0</v>
      </c>
      <c r="AP620" s="20">
        <v>107179.0</v>
      </c>
      <c r="AQ620" s="20">
        <v>887.94</v>
      </c>
    </row>
    <row r="621" ht="22.5" hidden="1" customHeight="1">
      <c r="AJ621" s="20" t="s">
        <v>65</v>
      </c>
      <c r="AK621" s="21">
        <v>3.0</v>
      </c>
      <c r="AL621" s="20" t="s">
        <v>3</v>
      </c>
      <c r="AM621" s="20" t="s">
        <v>50</v>
      </c>
      <c r="AN621" s="21">
        <v>1156.0</v>
      </c>
      <c r="AO621" s="21">
        <v>20.0</v>
      </c>
      <c r="AP621" s="20">
        <v>115758.0</v>
      </c>
      <c r="AQ621" s="20">
        <v>888.44</v>
      </c>
    </row>
    <row r="622" ht="22.5" hidden="1" customHeight="1">
      <c r="AJ622" s="20" t="s">
        <v>65</v>
      </c>
      <c r="AK622" s="21">
        <v>3.0</v>
      </c>
      <c r="AL622" s="20" t="s">
        <v>4</v>
      </c>
      <c r="AM622" s="20" t="s">
        <v>49</v>
      </c>
      <c r="AN622" s="21">
        <v>17284.0</v>
      </c>
      <c r="AO622" s="21">
        <v>10.0</v>
      </c>
      <c r="AP622" s="20">
        <v>117921.0</v>
      </c>
      <c r="AQ622" s="20">
        <v>888.53</v>
      </c>
    </row>
    <row r="623" ht="22.5" hidden="1" customHeight="1">
      <c r="AJ623" s="20" t="s">
        <v>65</v>
      </c>
      <c r="AK623" s="21">
        <v>3.0</v>
      </c>
      <c r="AL623" s="20" t="s">
        <v>4</v>
      </c>
      <c r="AM623" s="20" t="s">
        <v>55</v>
      </c>
      <c r="AN623" s="21">
        <v>1412.0</v>
      </c>
      <c r="AO623" s="21">
        <v>10.0</v>
      </c>
      <c r="AP623" s="20">
        <v>114430.0</v>
      </c>
      <c r="AQ623" s="20">
        <v>889.24</v>
      </c>
    </row>
    <row r="624" ht="22.5" hidden="1" customHeight="1">
      <c r="AJ624" s="20" t="s">
        <v>65</v>
      </c>
      <c r="AK624" s="21">
        <v>3.0</v>
      </c>
      <c r="AL624" s="20" t="s">
        <v>2</v>
      </c>
      <c r="AM624" s="20" t="s">
        <v>51</v>
      </c>
      <c r="AN624" s="21">
        <v>1924.0</v>
      </c>
      <c r="AO624" s="21">
        <v>10.0</v>
      </c>
      <c r="AP624" s="20">
        <v>107179.0</v>
      </c>
      <c r="AQ624" s="20">
        <v>889.26</v>
      </c>
    </row>
    <row r="625" ht="22.5" hidden="1" customHeight="1">
      <c r="AJ625" s="20" t="s">
        <v>65</v>
      </c>
      <c r="AK625" s="21">
        <v>3.0</v>
      </c>
      <c r="AL625" s="20" t="s">
        <v>5</v>
      </c>
      <c r="AM625" s="20" t="s">
        <v>51</v>
      </c>
      <c r="AN625" s="21">
        <v>66436.0</v>
      </c>
      <c r="AO625" s="21">
        <v>20.0</v>
      </c>
      <c r="AP625" s="20">
        <v>107179.0</v>
      </c>
      <c r="AQ625" s="20">
        <v>889.6</v>
      </c>
    </row>
    <row r="626" ht="22.5" hidden="1" customHeight="1">
      <c r="AJ626" s="20" t="s">
        <v>65</v>
      </c>
      <c r="AK626" s="21">
        <v>3.0</v>
      </c>
      <c r="AL626" s="20" t="s">
        <v>5</v>
      </c>
      <c r="AM626" s="20" t="s">
        <v>49</v>
      </c>
      <c r="AN626" s="21">
        <v>66436.0</v>
      </c>
      <c r="AO626" s="21">
        <v>20.0</v>
      </c>
      <c r="AP626" s="20">
        <v>117921.0</v>
      </c>
      <c r="AQ626" s="20">
        <v>890.77</v>
      </c>
    </row>
    <row r="627" ht="22.5" hidden="1" customHeight="1">
      <c r="AJ627" s="20" t="s">
        <v>65</v>
      </c>
      <c r="AK627" s="21">
        <v>3.0</v>
      </c>
      <c r="AL627" s="20" t="s">
        <v>5</v>
      </c>
      <c r="AM627" s="20" t="s">
        <v>49</v>
      </c>
      <c r="AN627" s="21">
        <v>1412.0</v>
      </c>
      <c r="AO627" s="21">
        <v>20.0</v>
      </c>
      <c r="AP627" s="20">
        <v>117921.0</v>
      </c>
      <c r="AQ627" s="20">
        <v>891.12</v>
      </c>
    </row>
    <row r="628" ht="22.5" hidden="1" customHeight="1">
      <c r="AJ628" s="20" t="s">
        <v>65</v>
      </c>
      <c r="AK628" s="21">
        <v>3.0</v>
      </c>
      <c r="AL628" s="20" t="s">
        <v>5</v>
      </c>
      <c r="AM628" s="20" t="s">
        <v>50</v>
      </c>
      <c r="AN628" s="21">
        <v>1156.0</v>
      </c>
      <c r="AO628" s="21">
        <v>20.0</v>
      </c>
      <c r="AP628" s="20">
        <v>115758.0</v>
      </c>
      <c r="AQ628" s="20">
        <v>891.52</v>
      </c>
    </row>
    <row r="629" ht="22.5" hidden="1" customHeight="1">
      <c r="AJ629" s="20" t="s">
        <v>65</v>
      </c>
      <c r="AK629" s="21">
        <v>3.0</v>
      </c>
      <c r="AL629" s="20" t="s">
        <v>5</v>
      </c>
      <c r="AM629" s="20" t="s">
        <v>51</v>
      </c>
      <c r="AN629" s="21">
        <v>1412.0</v>
      </c>
      <c r="AO629" s="21">
        <v>20.0</v>
      </c>
      <c r="AP629" s="20">
        <v>107179.0</v>
      </c>
      <c r="AQ629" s="20">
        <v>891.83</v>
      </c>
    </row>
    <row r="630" ht="22.5" hidden="1" customHeight="1">
      <c r="AJ630" s="20" t="s">
        <v>65</v>
      </c>
      <c r="AK630" s="21">
        <v>3.0</v>
      </c>
      <c r="AL630" s="20" t="s">
        <v>5</v>
      </c>
      <c r="AM630" s="20" t="s">
        <v>46</v>
      </c>
      <c r="AN630" s="21">
        <v>1924.0</v>
      </c>
      <c r="AO630" s="21">
        <v>20.0</v>
      </c>
      <c r="AP630" s="20">
        <v>107612.0</v>
      </c>
      <c r="AQ630" s="20">
        <v>892.21</v>
      </c>
    </row>
    <row r="631" ht="22.5" hidden="1" customHeight="1">
      <c r="AJ631" s="20" t="s">
        <v>65</v>
      </c>
      <c r="AK631" s="21">
        <v>3.0</v>
      </c>
      <c r="AL631" s="20" t="s">
        <v>3</v>
      </c>
      <c r="AM631" s="20" t="s">
        <v>49</v>
      </c>
      <c r="AN631" s="21">
        <v>1412.0</v>
      </c>
      <c r="AO631" s="21">
        <v>20.0</v>
      </c>
      <c r="AP631" s="20">
        <v>117921.0</v>
      </c>
      <c r="AQ631" s="20">
        <v>892.24</v>
      </c>
    </row>
    <row r="632" ht="22.5" hidden="1" customHeight="1">
      <c r="AJ632" s="20" t="s">
        <v>65</v>
      </c>
      <c r="AK632" s="21">
        <v>3.0</v>
      </c>
      <c r="AL632" s="20" t="s">
        <v>3</v>
      </c>
      <c r="AM632" s="20" t="s">
        <v>51</v>
      </c>
      <c r="AN632" s="21">
        <v>2948.0</v>
      </c>
      <c r="AO632" s="21">
        <v>20.0</v>
      </c>
      <c r="AP632" s="20">
        <v>107179.0</v>
      </c>
      <c r="AQ632" s="20">
        <v>892.51</v>
      </c>
    </row>
    <row r="633" ht="22.5" hidden="1" customHeight="1">
      <c r="AJ633" s="20" t="s">
        <v>65</v>
      </c>
      <c r="AK633" s="21">
        <v>3.0</v>
      </c>
      <c r="AL633" s="20" t="s">
        <v>5</v>
      </c>
      <c r="AM633" s="20" t="s">
        <v>55</v>
      </c>
      <c r="AN633" s="21">
        <v>33668.0</v>
      </c>
      <c r="AO633" s="21">
        <v>20.0</v>
      </c>
      <c r="AP633" s="20">
        <v>114430.0</v>
      </c>
      <c r="AQ633" s="20">
        <v>892.56</v>
      </c>
    </row>
    <row r="634" ht="22.5" hidden="1" customHeight="1">
      <c r="AJ634" s="20" t="s">
        <v>65</v>
      </c>
      <c r="AK634" s="21">
        <v>3.0</v>
      </c>
      <c r="AL634" s="20" t="s">
        <v>2</v>
      </c>
      <c r="AM634" s="20" t="s">
        <v>49</v>
      </c>
      <c r="AN634" s="21">
        <v>4996.0</v>
      </c>
      <c r="AO634" s="21">
        <v>10.0</v>
      </c>
      <c r="AP634" s="20">
        <v>117921.0</v>
      </c>
      <c r="AQ634" s="20">
        <v>893.03</v>
      </c>
    </row>
    <row r="635" ht="22.5" hidden="1" customHeight="1">
      <c r="AJ635" s="20" t="s">
        <v>65</v>
      </c>
      <c r="AK635" s="21">
        <v>3.0</v>
      </c>
      <c r="AL635" s="20" t="s">
        <v>2</v>
      </c>
      <c r="AM635" s="20" t="s">
        <v>52</v>
      </c>
      <c r="AN635" s="21">
        <v>1156.0</v>
      </c>
      <c r="AO635" s="21">
        <v>10.0</v>
      </c>
      <c r="AP635" s="20">
        <v>108829.0</v>
      </c>
      <c r="AQ635" s="20">
        <v>893.09</v>
      </c>
    </row>
    <row r="636" ht="22.5" hidden="1" customHeight="1">
      <c r="AJ636" s="20" t="s">
        <v>65</v>
      </c>
      <c r="AK636" s="21">
        <v>3.0</v>
      </c>
      <c r="AL636" s="20" t="s">
        <v>3</v>
      </c>
      <c r="AM636" s="20" t="s">
        <v>49</v>
      </c>
      <c r="AN636" s="21">
        <v>1156.0</v>
      </c>
      <c r="AO636" s="21">
        <v>20.0</v>
      </c>
      <c r="AP636" s="20">
        <v>117921.0</v>
      </c>
      <c r="AQ636" s="20">
        <v>893.54</v>
      </c>
    </row>
    <row r="637" ht="22.5" hidden="1" customHeight="1">
      <c r="AJ637" s="20" t="s">
        <v>65</v>
      </c>
      <c r="AK637" s="21">
        <v>3.0</v>
      </c>
      <c r="AL637" s="20" t="s">
        <v>5</v>
      </c>
      <c r="AM637" s="20" t="s">
        <v>49</v>
      </c>
      <c r="AN637" s="21">
        <v>131972.0</v>
      </c>
      <c r="AO637" s="21">
        <v>20.0</v>
      </c>
      <c r="AP637" s="20">
        <v>117921.0</v>
      </c>
      <c r="AQ637" s="20">
        <v>893.93</v>
      </c>
    </row>
    <row r="638" ht="22.5" hidden="1" customHeight="1">
      <c r="AJ638" s="20" t="s">
        <v>65</v>
      </c>
      <c r="AK638" s="21">
        <v>3.0</v>
      </c>
      <c r="AL638" s="20" t="s">
        <v>2</v>
      </c>
      <c r="AM638" s="20" t="s">
        <v>52</v>
      </c>
      <c r="AN638" s="21">
        <v>2948.0</v>
      </c>
      <c r="AO638" s="21">
        <v>10.0</v>
      </c>
      <c r="AP638" s="20">
        <v>108829.0</v>
      </c>
      <c r="AQ638" s="20">
        <v>894.67</v>
      </c>
    </row>
    <row r="639" ht="22.5" hidden="1" customHeight="1">
      <c r="AJ639" s="20" t="s">
        <v>65</v>
      </c>
      <c r="AK639" s="21">
        <v>3.0</v>
      </c>
      <c r="AL639" s="20" t="s">
        <v>4</v>
      </c>
      <c r="AM639" s="20" t="s">
        <v>55</v>
      </c>
      <c r="AN639" s="21">
        <v>131972.0</v>
      </c>
      <c r="AO639" s="21">
        <v>10.0</v>
      </c>
      <c r="AP639" s="20">
        <v>114430.0</v>
      </c>
      <c r="AQ639" s="20">
        <v>894.86</v>
      </c>
    </row>
    <row r="640" ht="22.5" hidden="1" customHeight="1">
      <c r="AJ640" s="20" t="s">
        <v>65</v>
      </c>
      <c r="AK640" s="21">
        <v>2.0</v>
      </c>
      <c r="AL640" s="20" t="s">
        <v>3</v>
      </c>
      <c r="AM640" s="20" t="s">
        <v>53</v>
      </c>
      <c r="AN640" s="21">
        <v>1156.0</v>
      </c>
      <c r="AO640" s="21">
        <v>20.0</v>
      </c>
      <c r="AP640" s="20">
        <v>160641.0</v>
      </c>
      <c r="AQ640" s="20">
        <v>894.93</v>
      </c>
    </row>
    <row r="641" ht="22.5" hidden="1" customHeight="1">
      <c r="AJ641" s="20" t="s">
        <v>65</v>
      </c>
      <c r="AK641" s="21">
        <v>3.0</v>
      </c>
      <c r="AL641" s="20" t="s">
        <v>4</v>
      </c>
      <c r="AM641" s="20" t="s">
        <v>51</v>
      </c>
      <c r="AN641" s="21">
        <v>9092.0</v>
      </c>
      <c r="AO641" s="21">
        <v>10.0</v>
      </c>
      <c r="AP641" s="20">
        <v>107179.0</v>
      </c>
      <c r="AQ641" s="20">
        <v>895.25</v>
      </c>
    </row>
    <row r="642" ht="22.5" hidden="1" customHeight="1">
      <c r="AJ642" s="20" t="s">
        <v>65</v>
      </c>
      <c r="AK642" s="21">
        <v>3.0</v>
      </c>
      <c r="AL642" s="20" t="s">
        <v>4</v>
      </c>
      <c r="AM642" s="20" t="s">
        <v>46</v>
      </c>
      <c r="AN642" s="21">
        <v>1924.0</v>
      </c>
      <c r="AO642" s="21">
        <v>10.0</v>
      </c>
      <c r="AP642" s="20">
        <v>107612.0</v>
      </c>
      <c r="AQ642" s="20">
        <v>896.76</v>
      </c>
    </row>
    <row r="643" ht="22.5" hidden="1" customHeight="1">
      <c r="AJ643" s="20" t="s">
        <v>65</v>
      </c>
      <c r="AK643" s="21">
        <v>3.0</v>
      </c>
      <c r="AL643" s="20" t="s">
        <v>5</v>
      </c>
      <c r="AM643" s="20" t="s">
        <v>49</v>
      </c>
      <c r="AN643" s="21">
        <v>1156.0</v>
      </c>
      <c r="AO643" s="21">
        <v>20.0</v>
      </c>
      <c r="AP643" s="20">
        <v>117921.0</v>
      </c>
      <c r="AQ643" s="20">
        <v>897.71</v>
      </c>
    </row>
    <row r="644" ht="22.5" hidden="1" customHeight="1">
      <c r="AJ644" s="20" t="s">
        <v>65</v>
      </c>
      <c r="AK644" s="21">
        <v>3.0</v>
      </c>
      <c r="AL644" s="20" t="s">
        <v>4</v>
      </c>
      <c r="AM644" s="20" t="s">
        <v>56</v>
      </c>
      <c r="AN644" s="21">
        <v>1924.0</v>
      </c>
      <c r="AO644" s="21">
        <v>10.0</v>
      </c>
      <c r="AP644" s="20">
        <v>115862.0</v>
      </c>
      <c r="AQ644" s="20">
        <v>898.49</v>
      </c>
    </row>
    <row r="645" ht="22.5" hidden="1" customHeight="1">
      <c r="AJ645" s="20" t="s">
        <v>65</v>
      </c>
      <c r="AK645" s="21">
        <v>3.0</v>
      </c>
      <c r="AL645" s="20" t="s">
        <v>5</v>
      </c>
      <c r="AM645" s="20" t="s">
        <v>49</v>
      </c>
      <c r="AN645" s="21">
        <v>33668.0</v>
      </c>
      <c r="AO645" s="21">
        <v>20.0</v>
      </c>
      <c r="AP645" s="20">
        <v>117921.0</v>
      </c>
      <c r="AQ645" s="20">
        <v>899.19</v>
      </c>
    </row>
    <row r="646" ht="22.5" hidden="1" customHeight="1">
      <c r="AJ646" s="20" t="s">
        <v>65</v>
      </c>
      <c r="AK646" s="21">
        <v>3.0</v>
      </c>
      <c r="AL646" s="20" t="s">
        <v>4</v>
      </c>
      <c r="AM646" s="20" t="s">
        <v>49</v>
      </c>
      <c r="AN646" s="21">
        <v>2948.0</v>
      </c>
      <c r="AO646" s="21">
        <v>10.0</v>
      </c>
      <c r="AP646" s="20">
        <v>117921.0</v>
      </c>
      <c r="AQ646" s="20">
        <v>899.86</v>
      </c>
    </row>
    <row r="647" ht="22.5" hidden="1" customHeight="1">
      <c r="AJ647" s="20" t="s">
        <v>65</v>
      </c>
      <c r="AK647" s="21">
        <v>3.0</v>
      </c>
      <c r="AL647" s="20" t="s">
        <v>5</v>
      </c>
      <c r="AM647" s="20" t="s">
        <v>51</v>
      </c>
      <c r="AN647" s="21">
        <v>131972.0</v>
      </c>
      <c r="AO647" s="21">
        <v>20.0</v>
      </c>
      <c r="AP647" s="20">
        <v>107179.0</v>
      </c>
      <c r="AQ647" s="20">
        <v>900.13</v>
      </c>
    </row>
    <row r="648" ht="22.5" hidden="1" customHeight="1">
      <c r="AJ648" s="20" t="s">
        <v>65</v>
      </c>
      <c r="AK648" s="21">
        <v>3.0</v>
      </c>
      <c r="AL648" s="20" t="s">
        <v>5</v>
      </c>
      <c r="AM648" s="20" t="s">
        <v>55</v>
      </c>
      <c r="AN648" s="21">
        <v>66436.0</v>
      </c>
      <c r="AO648" s="21">
        <v>20.0</v>
      </c>
      <c r="AP648" s="20">
        <v>114430.0</v>
      </c>
      <c r="AQ648" s="20">
        <v>900.17</v>
      </c>
    </row>
    <row r="649" ht="22.5" hidden="1" customHeight="1">
      <c r="AJ649" s="20" t="s">
        <v>65</v>
      </c>
      <c r="AK649" s="21">
        <v>3.0</v>
      </c>
      <c r="AL649" s="20" t="s">
        <v>2</v>
      </c>
      <c r="AM649" s="20" t="s">
        <v>49</v>
      </c>
      <c r="AN649" s="21">
        <v>2948.0</v>
      </c>
      <c r="AO649" s="21">
        <v>10.0</v>
      </c>
      <c r="AP649" s="20">
        <v>117921.0</v>
      </c>
      <c r="AQ649" s="20">
        <v>900.29</v>
      </c>
    </row>
    <row r="650" ht="22.5" hidden="1" customHeight="1">
      <c r="AJ650" s="20" t="s">
        <v>65</v>
      </c>
      <c r="AK650" s="21">
        <v>3.0</v>
      </c>
      <c r="AL650" s="20" t="s">
        <v>5</v>
      </c>
      <c r="AM650" s="20" t="s">
        <v>50</v>
      </c>
      <c r="AN650" s="21">
        <v>131972.0</v>
      </c>
      <c r="AO650" s="21">
        <v>20.0</v>
      </c>
      <c r="AP650" s="20">
        <v>115738.0</v>
      </c>
      <c r="AQ650" s="20">
        <v>901.46</v>
      </c>
    </row>
    <row r="651" ht="22.5" hidden="1" customHeight="1">
      <c r="AJ651" s="20" t="s">
        <v>65</v>
      </c>
      <c r="AK651" s="21">
        <v>3.0</v>
      </c>
      <c r="AL651" s="20" t="s">
        <v>2</v>
      </c>
      <c r="AM651" s="20" t="s">
        <v>56</v>
      </c>
      <c r="AN651" s="21">
        <v>2948.0</v>
      </c>
      <c r="AO651" s="21">
        <v>10.0</v>
      </c>
      <c r="AP651" s="20">
        <v>115862.0</v>
      </c>
      <c r="AQ651" s="20">
        <v>901.69</v>
      </c>
    </row>
    <row r="652" ht="22.5" hidden="1" customHeight="1">
      <c r="AJ652" s="20" t="s">
        <v>65</v>
      </c>
      <c r="AK652" s="21">
        <v>3.0</v>
      </c>
      <c r="AL652" s="20" t="s">
        <v>2</v>
      </c>
      <c r="AM652" s="20" t="s">
        <v>56</v>
      </c>
      <c r="AN652" s="21">
        <v>4996.0</v>
      </c>
      <c r="AO652" s="21">
        <v>10.0</v>
      </c>
      <c r="AP652" s="20">
        <v>115862.0</v>
      </c>
      <c r="AQ652" s="20">
        <v>901.8</v>
      </c>
    </row>
    <row r="653" ht="22.5" hidden="1" customHeight="1">
      <c r="AJ653" s="20" t="s">
        <v>65</v>
      </c>
      <c r="AK653" s="21">
        <v>3.0</v>
      </c>
      <c r="AL653" s="20" t="s">
        <v>5</v>
      </c>
      <c r="AM653" s="20" t="s">
        <v>51</v>
      </c>
      <c r="AN653" s="21">
        <v>4996.0</v>
      </c>
      <c r="AO653" s="21">
        <v>20.0</v>
      </c>
      <c r="AP653" s="20">
        <v>107179.0</v>
      </c>
      <c r="AQ653" s="20">
        <v>901.88</v>
      </c>
    </row>
    <row r="654" ht="22.5" hidden="1" customHeight="1">
      <c r="AJ654" s="20" t="s">
        <v>65</v>
      </c>
      <c r="AK654" s="21">
        <v>3.0</v>
      </c>
      <c r="AL654" s="20" t="s">
        <v>3</v>
      </c>
      <c r="AM654" s="20" t="s">
        <v>51</v>
      </c>
      <c r="AN654" s="21">
        <v>1412.0</v>
      </c>
      <c r="AO654" s="21">
        <v>20.0</v>
      </c>
      <c r="AP654" s="20">
        <v>107179.0</v>
      </c>
      <c r="AQ654" s="20">
        <v>901.93</v>
      </c>
    </row>
    <row r="655" ht="22.5" hidden="1" customHeight="1">
      <c r="AJ655" s="20" t="s">
        <v>65</v>
      </c>
      <c r="AK655" s="21">
        <v>3.0</v>
      </c>
      <c r="AL655" s="20" t="s">
        <v>4</v>
      </c>
      <c r="AM655" s="20" t="s">
        <v>49</v>
      </c>
      <c r="AN655" s="21">
        <v>4996.0</v>
      </c>
      <c r="AO655" s="21">
        <v>10.0</v>
      </c>
      <c r="AP655" s="20">
        <v>117921.0</v>
      </c>
      <c r="AQ655" s="20">
        <v>902.05</v>
      </c>
    </row>
    <row r="656" ht="22.5" hidden="1" customHeight="1">
      <c r="AJ656" s="20" t="s">
        <v>65</v>
      </c>
      <c r="AK656" s="21">
        <v>3.0</v>
      </c>
      <c r="AL656" s="20" t="s">
        <v>2</v>
      </c>
      <c r="AM656" s="20" t="s">
        <v>55</v>
      </c>
      <c r="AN656" s="21">
        <v>2948.0</v>
      </c>
      <c r="AO656" s="21">
        <v>10.0</v>
      </c>
      <c r="AP656" s="20">
        <v>114430.0</v>
      </c>
      <c r="AQ656" s="20">
        <v>902.05</v>
      </c>
    </row>
    <row r="657" ht="22.5" hidden="1" customHeight="1">
      <c r="AJ657" s="20" t="s">
        <v>65</v>
      </c>
      <c r="AK657" s="21">
        <v>3.0</v>
      </c>
      <c r="AL657" s="20" t="s">
        <v>3</v>
      </c>
      <c r="AM657" s="20" t="s">
        <v>57</v>
      </c>
      <c r="AN657" s="21">
        <v>1412.0</v>
      </c>
      <c r="AO657" s="21">
        <v>20.0</v>
      </c>
      <c r="AP657" s="20">
        <v>123736.0</v>
      </c>
      <c r="AQ657" s="20">
        <v>902.07</v>
      </c>
    </row>
    <row r="658" ht="22.5" hidden="1" customHeight="1">
      <c r="AJ658" s="20" t="s">
        <v>65</v>
      </c>
      <c r="AK658" s="21">
        <v>3.0</v>
      </c>
      <c r="AL658" s="20" t="s">
        <v>3</v>
      </c>
      <c r="AM658" s="20" t="s">
        <v>46</v>
      </c>
      <c r="AN658" s="21">
        <v>1924.0</v>
      </c>
      <c r="AO658" s="21">
        <v>20.0</v>
      </c>
      <c r="AP658" s="20">
        <v>107612.0</v>
      </c>
      <c r="AQ658" s="20">
        <v>902.14</v>
      </c>
    </row>
    <row r="659" ht="22.5" hidden="1" customHeight="1">
      <c r="AJ659" s="20" t="s">
        <v>65</v>
      </c>
      <c r="AK659" s="21">
        <v>3.0</v>
      </c>
      <c r="AL659" s="20" t="s">
        <v>4</v>
      </c>
      <c r="AM659" s="20" t="s">
        <v>56</v>
      </c>
      <c r="AN659" s="21">
        <v>4996.0</v>
      </c>
      <c r="AO659" s="21">
        <v>10.0</v>
      </c>
      <c r="AP659" s="20">
        <v>115862.0</v>
      </c>
      <c r="AQ659" s="20">
        <v>902.37</v>
      </c>
    </row>
    <row r="660" ht="22.5" hidden="1" customHeight="1">
      <c r="AJ660" s="20" t="s">
        <v>65</v>
      </c>
      <c r="AK660" s="21">
        <v>3.0</v>
      </c>
      <c r="AL660" s="20" t="s">
        <v>5</v>
      </c>
      <c r="AM660" s="20" t="s">
        <v>49</v>
      </c>
      <c r="AN660" s="21">
        <v>1924.0</v>
      </c>
      <c r="AO660" s="21">
        <v>20.0</v>
      </c>
      <c r="AP660" s="20">
        <v>117921.0</v>
      </c>
      <c r="AQ660" s="20">
        <v>902.52</v>
      </c>
    </row>
    <row r="661" ht="22.5" hidden="1" customHeight="1">
      <c r="AJ661" s="20" t="s">
        <v>65</v>
      </c>
      <c r="AK661" s="21">
        <v>3.0</v>
      </c>
      <c r="AL661" s="20" t="s">
        <v>2</v>
      </c>
      <c r="AM661" s="20" t="s">
        <v>57</v>
      </c>
      <c r="AN661" s="21">
        <v>1924.0</v>
      </c>
      <c r="AO661" s="21">
        <v>10.0</v>
      </c>
      <c r="AP661" s="20">
        <v>123736.0</v>
      </c>
      <c r="AQ661" s="20">
        <v>903.13</v>
      </c>
    </row>
    <row r="662" ht="22.5" hidden="1" customHeight="1">
      <c r="AJ662" s="20" t="s">
        <v>65</v>
      </c>
      <c r="AK662" s="21">
        <v>3.0</v>
      </c>
      <c r="AL662" s="20" t="s">
        <v>4</v>
      </c>
      <c r="AM662" s="20" t="s">
        <v>52</v>
      </c>
      <c r="AN662" s="21">
        <v>1156.0</v>
      </c>
      <c r="AO662" s="21">
        <v>10.0</v>
      </c>
      <c r="AP662" s="20">
        <v>108829.0</v>
      </c>
      <c r="AQ662" s="20">
        <v>903.16</v>
      </c>
    </row>
    <row r="663" ht="22.5" hidden="1" customHeight="1">
      <c r="AJ663" s="20" t="s">
        <v>65</v>
      </c>
      <c r="AK663" s="21">
        <v>3.0</v>
      </c>
      <c r="AL663" s="20" t="s">
        <v>5</v>
      </c>
      <c r="AM663" s="20" t="s">
        <v>57</v>
      </c>
      <c r="AN663" s="21">
        <v>1412.0</v>
      </c>
      <c r="AO663" s="21">
        <v>20.0</v>
      </c>
      <c r="AP663" s="20">
        <v>123736.0</v>
      </c>
      <c r="AQ663" s="20">
        <v>903.42</v>
      </c>
    </row>
    <row r="664" ht="22.5" hidden="1" customHeight="1">
      <c r="AJ664" s="20" t="s">
        <v>65</v>
      </c>
      <c r="AK664" s="21">
        <v>3.0</v>
      </c>
      <c r="AL664" s="20" t="s">
        <v>5</v>
      </c>
      <c r="AM664" s="20" t="s">
        <v>50</v>
      </c>
      <c r="AN664" s="21">
        <v>9092.0</v>
      </c>
      <c r="AO664" s="21">
        <v>20.0</v>
      </c>
      <c r="AP664" s="20">
        <v>115738.0</v>
      </c>
      <c r="AQ664" s="20">
        <v>903.62</v>
      </c>
    </row>
    <row r="665" ht="22.5" hidden="1" customHeight="1">
      <c r="AJ665" s="20" t="s">
        <v>65</v>
      </c>
      <c r="AK665" s="21">
        <v>3.0</v>
      </c>
      <c r="AL665" s="20" t="s">
        <v>4</v>
      </c>
      <c r="AM665" s="20" t="s">
        <v>52</v>
      </c>
      <c r="AN665" s="21">
        <v>2948.0</v>
      </c>
      <c r="AO665" s="21">
        <v>10.0</v>
      </c>
      <c r="AP665" s="20">
        <v>108829.0</v>
      </c>
      <c r="AQ665" s="20">
        <v>904.08</v>
      </c>
    </row>
    <row r="666" ht="22.5" hidden="1" customHeight="1">
      <c r="AJ666" s="20" t="s">
        <v>65</v>
      </c>
      <c r="AK666" s="21">
        <v>3.0</v>
      </c>
      <c r="AL666" s="20" t="s">
        <v>4</v>
      </c>
      <c r="AM666" s="20" t="s">
        <v>48</v>
      </c>
      <c r="AN666" s="21">
        <v>131972.0</v>
      </c>
      <c r="AO666" s="21">
        <v>10.0</v>
      </c>
      <c r="AP666" s="20">
        <v>113378.0</v>
      </c>
      <c r="AQ666" s="20">
        <v>904.75</v>
      </c>
    </row>
    <row r="667" ht="22.5" hidden="1" customHeight="1">
      <c r="AJ667" s="20" t="s">
        <v>65</v>
      </c>
      <c r="AK667" s="21">
        <v>3.0</v>
      </c>
      <c r="AL667" s="20" t="s">
        <v>5</v>
      </c>
      <c r="AM667" s="20" t="s">
        <v>55</v>
      </c>
      <c r="AN667" s="21">
        <v>1412.0</v>
      </c>
      <c r="AO667" s="21">
        <v>20.0</v>
      </c>
      <c r="AP667" s="20">
        <v>114430.0</v>
      </c>
      <c r="AQ667" s="20">
        <v>904.79</v>
      </c>
    </row>
    <row r="668" ht="22.5" hidden="1" customHeight="1">
      <c r="AJ668" s="20" t="s">
        <v>65</v>
      </c>
      <c r="AK668" s="21">
        <v>3.0</v>
      </c>
      <c r="AL668" s="20" t="s">
        <v>3</v>
      </c>
      <c r="AM668" s="20" t="s">
        <v>49</v>
      </c>
      <c r="AN668" s="21">
        <v>1924.0</v>
      </c>
      <c r="AO668" s="21">
        <v>20.0</v>
      </c>
      <c r="AP668" s="20">
        <v>117921.0</v>
      </c>
      <c r="AQ668" s="20">
        <v>905.25</v>
      </c>
    </row>
    <row r="669" ht="22.5" hidden="1" customHeight="1">
      <c r="AJ669" s="20" t="s">
        <v>65</v>
      </c>
      <c r="AK669" s="21">
        <v>3.0</v>
      </c>
      <c r="AL669" s="20" t="s">
        <v>3</v>
      </c>
      <c r="AM669" s="20" t="s">
        <v>55</v>
      </c>
      <c r="AN669" s="21">
        <v>1156.0</v>
      </c>
      <c r="AO669" s="21">
        <v>20.0</v>
      </c>
      <c r="AP669" s="20">
        <v>114430.0</v>
      </c>
      <c r="AQ669" s="20">
        <v>905.82</v>
      </c>
    </row>
    <row r="670" ht="22.5" hidden="1" customHeight="1">
      <c r="AJ670" s="20" t="s">
        <v>65</v>
      </c>
      <c r="AK670" s="21">
        <v>3.0</v>
      </c>
      <c r="AL670" s="20" t="s">
        <v>3</v>
      </c>
      <c r="AM670" s="20" t="s">
        <v>56</v>
      </c>
      <c r="AN670" s="21">
        <v>1412.0</v>
      </c>
      <c r="AO670" s="21">
        <v>20.0</v>
      </c>
      <c r="AP670" s="20">
        <v>115862.0</v>
      </c>
      <c r="AQ670" s="20">
        <v>906.35</v>
      </c>
    </row>
    <row r="671" ht="22.5" hidden="1" customHeight="1">
      <c r="AJ671" s="20" t="s">
        <v>65</v>
      </c>
      <c r="AK671" s="21">
        <v>2.0</v>
      </c>
      <c r="AL671" s="20" t="s">
        <v>5</v>
      </c>
      <c r="AM671" s="20" t="s">
        <v>53</v>
      </c>
      <c r="AN671" s="21">
        <v>4996.0</v>
      </c>
      <c r="AO671" s="21">
        <v>20.0</v>
      </c>
      <c r="AP671" s="20">
        <v>160641.0</v>
      </c>
      <c r="AQ671" s="20">
        <v>906.49</v>
      </c>
    </row>
    <row r="672" ht="22.5" hidden="1" customHeight="1">
      <c r="AJ672" s="20" t="s">
        <v>65</v>
      </c>
      <c r="AK672" s="21">
        <v>3.0</v>
      </c>
      <c r="AL672" s="20" t="s">
        <v>2</v>
      </c>
      <c r="AM672" s="20" t="s">
        <v>55</v>
      </c>
      <c r="AN672" s="21">
        <v>1924.0</v>
      </c>
      <c r="AO672" s="21">
        <v>10.0</v>
      </c>
      <c r="AP672" s="20">
        <v>114430.0</v>
      </c>
      <c r="AQ672" s="20">
        <v>906.85</v>
      </c>
    </row>
    <row r="673" ht="22.5" hidden="1" customHeight="1">
      <c r="AJ673" s="20" t="s">
        <v>65</v>
      </c>
      <c r="AK673" s="21">
        <v>3.0</v>
      </c>
      <c r="AL673" s="20" t="s">
        <v>2</v>
      </c>
      <c r="AM673" s="20" t="s">
        <v>46</v>
      </c>
      <c r="AN673" s="21">
        <v>2948.0</v>
      </c>
      <c r="AO673" s="21">
        <v>10.0</v>
      </c>
      <c r="AP673" s="20">
        <v>107607.0</v>
      </c>
      <c r="AQ673" s="20">
        <v>907.74</v>
      </c>
    </row>
    <row r="674" ht="22.5" hidden="1" customHeight="1">
      <c r="AJ674" s="20" t="s">
        <v>65</v>
      </c>
      <c r="AK674" s="21">
        <v>3.0</v>
      </c>
      <c r="AL674" s="20" t="s">
        <v>4</v>
      </c>
      <c r="AM674" s="20" t="s">
        <v>57</v>
      </c>
      <c r="AN674" s="21">
        <v>33668.0</v>
      </c>
      <c r="AO674" s="21">
        <v>10.0</v>
      </c>
      <c r="AP674" s="20">
        <v>123736.0</v>
      </c>
      <c r="AQ674" s="20">
        <v>908.26</v>
      </c>
    </row>
    <row r="675" ht="22.5" hidden="1" customHeight="1">
      <c r="AJ675" s="20" t="s">
        <v>65</v>
      </c>
      <c r="AK675" s="21">
        <v>3.0</v>
      </c>
      <c r="AL675" s="20" t="s">
        <v>4</v>
      </c>
      <c r="AM675" s="20" t="s">
        <v>56</v>
      </c>
      <c r="AN675" s="21">
        <v>17284.0</v>
      </c>
      <c r="AO675" s="21">
        <v>10.0</v>
      </c>
      <c r="AP675" s="20">
        <v>115862.0</v>
      </c>
      <c r="AQ675" s="20">
        <v>909.26</v>
      </c>
    </row>
    <row r="676" ht="22.5" hidden="1" customHeight="1">
      <c r="AJ676" s="20" t="s">
        <v>65</v>
      </c>
      <c r="AK676" s="21">
        <v>3.0</v>
      </c>
      <c r="AL676" s="20" t="s">
        <v>5</v>
      </c>
      <c r="AM676" s="20" t="s">
        <v>52</v>
      </c>
      <c r="AN676" s="21">
        <v>1156.0</v>
      </c>
      <c r="AO676" s="21">
        <v>20.0</v>
      </c>
      <c r="AP676" s="20">
        <v>108829.0</v>
      </c>
      <c r="AQ676" s="20">
        <v>909.28</v>
      </c>
    </row>
    <row r="677" ht="22.5" hidden="1" customHeight="1">
      <c r="AJ677" s="20" t="s">
        <v>65</v>
      </c>
      <c r="AK677" s="21">
        <v>3.0</v>
      </c>
      <c r="AL677" s="20" t="s">
        <v>5</v>
      </c>
      <c r="AM677" s="20" t="s">
        <v>57</v>
      </c>
      <c r="AN677" s="21">
        <v>9092.0</v>
      </c>
      <c r="AO677" s="21">
        <v>20.0</v>
      </c>
      <c r="AP677" s="20">
        <v>123736.0</v>
      </c>
      <c r="AQ677" s="20">
        <v>910.25</v>
      </c>
    </row>
    <row r="678" ht="22.5" hidden="1" customHeight="1">
      <c r="AJ678" s="20" t="s">
        <v>65</v>
      </c>
      <c r="AK678" s="21">
        <v>3.0</v>
      </c>
      <c r="AL678" s="20" t="s">
        <v>2</v>
      </c>
      <c r="AM678" s="20" t="s">
        <v>54</v>
      </c>
      <c r="AN678" s="21">
        <v>1156.0</v>
      </c>
      <c r="AO678" s="21">
        <v>10.0</v>
      </c>
      <c r="AP678" s="20">
        <v>107420.0</v>
      </c>
      <c r="AQ678" s="20">
        <v>910.36</v>
      </c>
    </row>
    <row r="679" ht="22.5" hidden="1" customHeight="1">
      <c r="AJ679" s="20" t="s">
        <v>65</v>
      </c>
      <c r="AK679" s="21">
        <v>3.0</v>
      </c>
      <c r="AL679" s="20" t="s">
        <v>3</v>
      </c>
      <c r="AM679" s="20" t="s">
        <v>56</v>
      </c>
      <c r="AN679" s="21">
        <v>1924.0</v>
      </c>
      <c r="AO679" s="21">
        <v>20.0</v>
      </c>
      <c r="AP679" s="20">
        <v>115862.0</v>
      </c>
      <c r="AQ679" s="20">
        <v>910.81</v>
      </c>
    </row>
    <row r="680" ht="22.5" hidden="1" customHeight="1">
      <c r="AJ680" s="20" t="s">
        <v>65</v>
      </c>
      <c r="AK680" s="21">
        <v>3.0</v>
      </c>
      <c r="AL680" s="20" t="s">
        <v>4</v>
      </c>
      <c r="AM680" s="20" t="s">
        <v>57</v>
      </c>
      <c r="AN680" s="21">
        <v>66436.0</v>
      </c>
      <c r="AO680" s="21">
        <v>10.0</v>
      </c>
      <c r="AP680" s="20">
        <v>123736.0</v>
      </c>
      <c r="AQ680" s="20">
        <v>910.85</v>
      </c>
    </row>
    <row r="681" ht="22.5" hidden="1" customHeight="1">
      <c r="AJ681" s="20" t="s">
        <v>65</v>
      </c>
      <c r="AK681" s="21">
        <v>3.0</v>
      </c>
      <c r="AL681" s="20" t="s">
        <v>3</v>
      </c>
      <c r="AM681" s="20" t="s">
        <v>55</v>
      </c>
      <c r="AN681" s="21">
        <v>1412.0</v>
      </c>
      <c r="AO681" s="21">
        <v>20.0</v>
      </c>
      <c r="AP681" s="20">
        <v>114430.0</v>
      </c>
      <c r="AQ681" s="20">
        <v>911.7</v>
      </c>
    </row>
    <row r="682" ht="22.5" hidden="1" customHeight="1">
      <c r="AJ682" s="20" t="s">
        <v>65</v>
      </c>
      <c r="AK682" s="21">
        <v>3.0</v>
      </c>
      <c r="AL682" s="20" t="s">
        <v>4</v>
      </c>
      <c r="AM682" s="20" t="s">
        <v>55</v>
      </c>
      <c r="AN682" s="21">
        <v>4996.0</v>
      </c>
      <c r="AO682" s="21">
        <v>10.0</v>
      </c>
      <c r="AP682" s="20">
        <v>114430.0</v>
      </c>
      <c r="AQ682" s="20">
        <v>911.92</v>
      </c>
    </row>
    <row r="683" ht="22.5" hidden="1" customHeight="1">
      <c r="AJ683" s="20" t="s">
        <v>65</v>
      </c>
      <c r="AK683" s="21">
        <v>3.0</v>
      </c>
      <c r="AL683" s="20" t="s">
        <v>5</v>
      </c>
      <c r="AM683" s="20" t="s">
        <v>51</v>
      </c>
      <c r="AN683" s="21">
        <v>9092.0</v>
      </c>
      <c r="AO683" s="21">
        <v>20.0</v>
      </c>
      <c r="AP683" s="20">
        <v>107179.0</v>
      </c>
      <c r="AQ683" s="20">
        <v>912.33</v>
      </c>
    </row>
    <row r="684" ht="22.5" hidden="1" customHeight="1">
      <c r="AJ684" s="20" t="s">
        <v>65</v>
      </c>
      <c r="AK684" s="21">
        <v>3.0</v>
      </c>
      <c r="AL684" s="20" t="s">
        <v>3</v>
      </c>
      <c r="AM684" s="20" t="s">
        <v>51</v>
      </c>
      <c r="AN684" s="21">
        <v>1924.0</v>
      </c>
      <c r="AO684" s="21">
        <v>20.0</v>
      </c>
      <c r="AP684" s="20">
        <v>107179.0</v>
      </c>
      <c r="AQ684" s="20">
        <v>912.77</v>
      </c>
    </row>
    <row r="685" ht="22.5" hidden="1" customHeight="1">
      <c r="AJ685" s="20" t="s">
        <v>65</v>
      </c>
      <c r="AK685" s="21">
        <v>3.0</v>
      </c>
      <c r="AL685" s="20" t="s">
        <v>5</v>
      </c>
      <c r="AM685" s="20" t="s">
        <v>51</v>
      </c>
      <c r="AN685" s="21">
        <v>1924.0</v>
      </c>
      <c r="AO685" s="21">
        <v>20.0</v>
      </c>
      <c r="AP685" s="20">
        <v>107179.0</v>
      </c>
      <c r="AQ685" s="20">
        <v>912.88</v>
      </c>
    </row>
    <row r="686" ht="22.5" hidden="1" customHeight="1">
      <c r="AJ686" s="20" t="s">
        <v>65</v>
      </c>
      <c r="AK686" s="21">
        <v>3.0</v>
      </c>
      <c r="AL686" s="20" t="s">
        <v>5</v>
      </c>
      <c r="AM686" s="20" t="s">
        <v>56</v>
      </c>
      <c r="AN686" s="21">
        <v>1412.0</v>
      </c>
      <c r="AO686" s="21">
        <v>20.0</v>
      </c>
      <c r="AP686" s="20">
        <v>115862.0</v>
      </c>
      <c r="AQ686" s="20">
        <v>913.42</v>
      </c>
    </row>
    <row r="687" ht="22.5" hidden="1" customHeight="1">
      <c r="AJ687" s="20" t="s">
        <v>65</v>
      </c>
      <c r="AK687" s="21">
        <v>3.0</v>
      </c>
      <c r="AL687" s="20" t="s">
        <v>4</v>
      </c>
      <c r="AM687" s="20" t="s">
        <v>55</v>
      </c>
      <c r="AN687" s="21">
        <v>2948.0</v>
      </c>
      <c r="AO687" s="21">
        <v>10.0</v>
      </c>
      <c r="AP687" s="20">
        <v>114430.0</v>
      </c>
      <c r="AQ687" s="20">
        <v>913.59</v>
      </c>
    </row>
    <row r="688" ht="22.5" hidden="1" customHeight="1">
      <c r="AJ688" s="20" t="s">
        <v>65</v>
      </c>
      <c r="AK688" s="21">
        <v>3.0</v>
      </c>
      <c r="AL688" s="20" t="s">
        <v>5</v>
      </c>
      <c r="AM688" s="20" t="s">
        <v>56</v>
      </c>
      <c r="AN688" s="21">
        <v>1924.0</v>
      </c>
      <c r="AO688" s="21">
        <v>20.0</v>
      </c>
      <c r="AP688" s="20">
        <v>115862.0</v>
      </c>
      <c r="AQ688" s="20">
        <v>913.98</v>
      </c>
    </row>
    <row r="689" ht="22.5" hidden="1" customHeight="1">
      <c r="AJ689" s="20" t="s">
        <v>65</v>
      </c>
      <c r="AK689" s="21">
        <v>3.0</v>
      </c>
      <c r="AL689" s="20" t="s">
        <v>2</v>
      </c>
      <c r="AM689" s="20" t="s">
        <v>57</v>
      </c>
      <c r="AN689" s="21">
        <v>4996.0</v>
      </c>
      <c r="AO689" s="21">
        <v>10.0</v>
      </c>
      <c r="AP689" s="20">
        <v>123736.0</v>
      </c>
      <c r="AQ689" s="20">
        <v>914.42</v>
      </c>
    </row>
    <row r="690" ht="22.5" hidden="1" customHeight="1">
      <c r="AJ690" s="20" t="s">
        <v>65</v>
      </c>
      <c r="AK690" s="21">
        <v>3.0</v>
      </c>
      <c r="AL690" s="20" t="s">
        <v>4</v>
      </c>
      <c r="AM690" s="20" t="s">
        <v>49</v>
      </c>
      <c r="AN690" s="21">
        <v>9092.0</v>
      </c>
      <c r="AO690" s="21">
        <v>10.0</v>
      </c>
      <c r="AP690" s="20">
        <v>117921.0</v>
      </c>
      <c r="AQ690" s="20">
        <v>914.54</v>
      </c>
    </row>
    <row r="691" ht="22.5" hidden="1" customHeight="1">
      <c r="AJ691" s="20" t="s">
        <v>65</v>
      </c>
      <c r="AK691" s="21">
        <v>3.0</v>
      </c>
      <c r="AL691" s="20" t="s">
        <v>5</v>
      </c>
      <c r="AM691" s="20" t="s">
        <v>49</v>
      </c>
      <c r="AN691" s="21">
        <v>17284.0</v>
      </c>
      <c r="AO691" s="21">
        <v>20.0</v>
      </c>
      <c r="AP691" s="20">
        <v>117921.0</v>
      </c>
      <c r="AQ691" s="20">
        <v>914.54</v>
      </c>
    </row>
    <row r="692" ht="22.5" hidden="1" customHeight="1">
      <c r="AJ692" s="20" t="s">
        <v>65</v>
      </c>
      <c r="AK692" s="21">
        <v>3.0</v>
      </c>
      <c r="AL692" s="20" t="s">
        <v>5</v>
      </c>
      <c r="AM692" s="20" t="s">
        <v>57</v>
      </c>
      <c r="AN692" s="21">
        <v>17284.0</v>
      </c>
      <c r="AO692" s="21">
        <v>20.0</v>
      </c>
      <c r="AP692" s="20">
        <v>123736.0</v>
      </c>
      <c r="AQ692" s="20">
        <v>915.71</v>
      </c>
    </row>
    <row r="693" ht="22.5" hidden="1" customHeight="1">
      <c r="AJ693" s="20" t="s">
        <v>65</v>
      </c>
      <c r="AK693" s="21">
        <v>3.0</v>
      </c>
      <c r="AL693" s="20" t="s">
        <v>5</v>
      </c>
      <c r="AM693" s="20" t="s">
        <v>55</v>
      </c>
      <c r="AN693" s="21">
        <v>131972.0</v>
      </c>
      <c r="AO693" s="21">
        <v>20.0</v>
      </c>
      <c r="AP693" s="20">
        <v>114430.0</v>
      </c>
      <c r="AQ693" s="20">
        <v>915.96</v>
      </c>
    </row>
    <row r="694" ht="22.5" hidden="1" customHeight="1">
      <c r="AJ694" s="20" t="s">
        <v>65</v>
      </c>
      <c r="AK694" s="21">
        <v>3.0</v>
      </c>
      <c r="AL694" s="20" t="s">
        <v>4</v>
      </c>
      <c r="AM694" s="20" t="s">
        <v>46</v>
      </c>
      <c r="AN694" s="21">
        <v>2948.0</v>
      </c>
      <c r="AO694" s="21">
        <v>10.0</v>
      </c>
      <c r="AP694" s="20">
        <v>107607.0</v>
      </c>
      <c r="AQ694" s="20">
        <v>916.92</v>
      </c>
    </row>
    <row r="695" ht="22.5" hidden="1" customHeight="1">
      <c r="AJ695" s="20" t="s">
        <v>65</v>
      </c>
      <c r="AK695" s="21">
        <v>3.0</v>
      </c>
      <c r="AL695" s="20" t="s">
        <v>4</v>
      </c>
      <c r="AM695" s="20" t="s">
        <v>57</v>
      </c>
      <c r="AN695" s="21">
        <v>4996.0</v>
      </c>
      <c r="AO695" s="21">
        <v>10.0</v>
      </c>
      <c r="AP695" s="20">
        <v>123736.0</v>
      </c>
      <c r="AQ695" s="20">
        <v>917.23</v>
      </c>
    </row>
    <row r="696" ht="22.5" hidden="1" customHeight="1">
      <c r="AJ696" s="20" t="s">
        <v>65</v>
      </c>
      <c r="AK696" s="21">
        <v>3.0</v>
      </c>
      <c r="AL696" s="20" t="s">
        <v>4</v>
      </c>
      <c r="AM696" s="20" t="s">
        <v>54</v>
      </c>
      <c r="AN696" s="21">
        <v>1156.0</v>
      </c>
      <c r="AO696" s="21">
        <v>10.0</v>
      </c>
      <c r="AP696" s="20">
        <v>107420.0</v>
      </c>
      <c r="AQ696" s="20">
        <v>917.76</v>
      </c>
    </row>
    <row r="697" ht="22.5" hidden="1" customHeight="1">
      <c r="AJ697" s="20" t="s">
        <v>65</v>
      </c>
      <c r="AK697" s="21">
        <v>3.0</v>
      </c>
      <c r="AL697" s="20" t="s">
        <v>4</v>
      </c>
      <c r="AM697" s="20" t="s">
        <v>55</v>
      </c>
      <c r="AN697" s="21">
        <v>17284.0</v>
      </c>
      <c r="AO697" s="21">
        <v>10.0</v>
      </c>
      <c r="AP697" s="20">
        <v>114430.0</v>
      </c>
      <c r="AQ697" s="20">
        <v>918.47</v>
      </c>
    </row>
    <row r="698" ht="22.5" hidden="1" customHeight="1">
      <c r="AJ698" s="20" t="s">
        <v>65</v>
      </c>
      <c r="AK698" s="21">
        <v>3.0</v>
      </c>
      <c r="AL698" s="20" t="s">
        <v>4</v>
      </c>
      <c r="AM698" s="20" t="s">
        <v>55</v>
      </c>
      <c r="AN698" s="21">
        <v>9092.0</v>
      </c>
      <c r="AO698" s="21">
        <v>10.0</v>
      </c>
      <c r="AP698" s="20">
        <v>114430.0</v>
      </c>
      <c r="AQ698" s="20">
        <v>919.42</v>
      </c>
    </row>
    <row r="699" ht="22.5" hidden="1" customHeight="1">
      <c r="AJ699" s="20" t="s">
        <v>65</v>
      </c>
      <c r="AK699" s="21">
        <v>3.0</v>
      </c>
      <c r="AL699" s="20" t="s">
        <v>4</v>
      </c>
      <c r="AM699" s="20" t="s">
        <v>48</v>
      </c>
      <c r="AN699" s="21">
        <v>9092.0</v>
      </c>
      <c r="AO699" s="21">
        <v>10.0</v>
      </c>
      <c r="AP699" s="20">
        <v>113378.0</v>
      </c>
      <c r="AQ699" s="20">
        <v>920.25</v>
      </c>
    </row>
    <row r="700" ht="22.5" hidden="1" customHeight="1">
      <c r="AJ700" s="20" t="s">
        <v>65</v>
      </c>
      <c r="AK700" s="21">
        <v>3.0</v>
      </c>
      <c r="AL700" s="20" t="s">
        <v>4</v>
      </c>
      <c r="AM700" s="20" t="s">
        <v>57</v>
      </c>
      <c r="AN700" s="21">
        <v>1924.0</v>
      </c>
      <c r="AO700" s="21">
        <v>10.0</v>
      </c>
      <c r="AP700" s="20">
        <v>123736.0</v>
      </c>
      <c r="AQ700" s="20">
        <v>920.36</v>
      </c>
    </row>
    <row r="701" ht="22.5" hidden="1" customHeight="1">
      <c r="AJ701" s="20" t="s">
        <v>65</v>
      </c>
      <c r="AK701" s="21">
        <v>3.0</v>
      </c>
      <c r="AL701" s="20" t="s">
        <v>4</v>
      </c>
      <c r="AM701" s="20" t="s">
        <v>47</v>
      </c>
      <c r="AN701" s="21">
        <v>1412.0</v>
      </c>
      <c r="AO701" s="21">
        <v>10.0</v>
      </c>
      <c r="AP701" s="20">
        <v>112885.0</v>
      </c>
      <c r="AQ701" s="20">
        <v>920.53</v>
      </c>
    </row>
    <row r="702" ht="22.5" hidden="1" customHeight="1">
      <c r="AJ702" s="20" t="s">
        <v>65</v>
      </c>
      <c r="AK702" s="21">
        <v>3.0</v>
      </c>
      <c r="AL702" s="20" t="s">
        <v>4</v>
      </c>
      <c r="AM702" s="20" t="s">
        <v>55</v>
      </c>
      <c r="AN702" s="21">
        <v>1924.0</v>
      </c>
      <c r="AO702" s="21">
        <v>10.0</v>
      </c>
      <c r="AP702" s="20">
        <v>114430.0</v>
      </c>
      <c r="AQ702" s="20">
        <v>920.56</v>
      </c>
    </row>
    <row r="703" ht="22.5" hidden="1" customHeight="1">
      <c r="AJ703" s="20" t="s">
        <v>65</v>
      </c>
      <c r="AK703" s="21">
        <v>3.0</v>
      </c>
      <c r="AL703" s="20" t="s">
        <v>4</v>
      </c>
      <c r="AM703" s="20" t="s">
        <v>57</v>
      </c>
      <c r="AN703" s="21">
        <v>131972.0</v>
      </c>
      <c r="AO703" s="21">
        <v>10.0</v>
      </c>
      <c r="AP703" s="20">
        <v>123736.0</v>
      </c>
      <c r="AQ703" s="20">
        <v>920.81</v>
      </c>
    </row>
    <row r="704" ht="22.5" hidden="1" customHeight="1">
      <c r="AJ704" s="20" t="s">
        <v>65</v>
      </c>
      <c r="AK704" s="21">
        <v>3.0</v>
      </c>
      <c r="AL704" s="20" t="s">
        <v>2</v>
      </c>
      <c r="AM704" s="20" t="s">
        <v>55</v>
      </c>
      <c r="AN704" s="21">
        <v>4996.0</v>
      </c>
      <c r="AO704" s="21">
        <v>10.0</v>
      </c>
      <c r="AP704" s="20">
        <v>114430.0</v>
      </c>
      <c r="AQ704" s="20">
        <v>921.01</v>
      </c>
    </row>
    <row r="705" ht="22.5" hidden="1" customHeight="1">
      <c r="AJ705" s="20" t="s">
        <v>65</v>
      </c>
      <c r="AK705" s="21">
        <v>3.0</v>
      </c>
      <c r="AL705" s="20" t="s">
        <v>4</v>
      </c>
      <c r="AM705" s="20" t="s">
        <v>52</v>
      </c>
      <c r="AN705" s="21">
        <v>131972.0</v>
      </c>
      <c r="AO705" s="21">
        <v>10.0</v>
      </c>
      <c r="AP705" s="20">
        <v>108829.0</v>
      </c>
      <c r="AQ705" s="20">
        <v>921.26</v>
      </c>
    </row>
    <row r="706" ht="22.5" hidden="1" customHeight="1">
      <c r="AJ706" s="20" t="s">
        <v>65</v>
      </c>
      <c r="AK706" s="21">
        <v>3.0</v>
      </c>
      <c r="AL706" s="20" t="s">
        <v>2</v>
      </c>
      <c r="AM706" s="20" t="s">
        <v>46</v>
      </c>
      <c r="AN706" s="21">
        <v>1412.0</v>
      </c>
      <c r="AO706" s="21">
        <v>10.0</v>
      </c>
      <c r="AP706" s="20">
        <v>107607.0</v>
      </c>
      <c r="AQ706" s="20">
        <v>921.54</v>
      </c>
    </row>
    <row r="707" ht="22.5" hidden="1" customHeight="1">
      <c r="AJ707" s="20" t="s">
        <v>65</v>
      </c>
      <c r="AK707" s="21">
        <v>3.0</v>
      </c>
      <c r="AL707" s="20" t="s">
        <v>4</v>
      </c>
      <c r="AM707" s="20" t="s">
        <v>56</v>
      </c>
      <c r="AN707" s="21">
        <v>2948.0</v>
      </c>
      <c r="AO707" s="21">
        <v>10.0</v>
      </c>
      <c r="AP707" s="20">
        <v>115862.0</v>
      </c>
      <c r="AQ707" s="20">
        <v>921.66</v>
      </c>
    </row>
    <row r="708" ht="22.5" hidden="1" customHeight="1">
      <c r="AJ708" s="20" t="s">
        <v>65</v>
      </c>
      <c r="AK708" s="21">
        <v>3.0</v>
      </c>
      <c r="AL708" s="20" t="s">
        <v>5</v>
      </c>
      <c r="AM708" s="20" t="s">
        <v>56</v>
      </c>
      <c r="AN708" s="21">
        <v>4996.0</v>
      </c>
      <c r="AO708" s="21">
        <v>20.0</v>
      </c>
      <c r="AP708" s="20">
        <v>115862.0</v>
      </c>
      <c r="AQ708" s="20">
        <v>922.81</v>
      </c>
    </row>
    <row r="709" ht="22.5" hidden="1" customHeight="1">
      <c r="AJ709" s="20" t="s">
        <v>65</v>
      </c>
      <c r="AK709" s="21">
        <v>3.0</v>
      </c>
      <c r="AL709" s="20" t="s">
        <v>4</v>
      </c>
      <c r="AM709" s="20" t="s">
        <v>48</v>
      </c>
      <c r="AN709" s="21">
        <v>66436.0</v>
      </c>
      <c r="AO709" s="21">
        <v>10.0</v>
      </c>
      <c r="AP709" s="20">
        <v>113378.0</v>
      </c>
      <c r="AQ709" s="20">
        <v>922.93</v>
      </c>
    </row>
    <row r="710" ht="22.5" hidden="1" customHeight="1">
      <c r="AJ710" s="20" t="s">
        <v>65</v>
      </c>
      <c r="AK710" s="21">
        <v>3.0</v>
      </c>
      <c r="AL710" s="20" t="s">
        <v>4</v>
      </c>
      <c r="AM710" s="20" t="s">
        <v>57</v>
      </c>
      <c r="AN710" s="21">
        <v>1156.0</v>
      </c>
      <c r="AO710" s="21">
        <v>10.0</v>
      </c>
      <c r="AP710" s="20">
        <v>123736.0</v>
      </c>
      <c r="AQ710" s="20">
        <v>923.17</v>
      </c>
    </row>
    <row r="711" ht="22.5" hidden="1" customHeight="1">
      <c r="AJ711" s="20" t="s">
        <v>65</v>
      </c>
      <c r="AK711" s="21">
        <v>3.0</v>
      </c>
      <c r="AL711" s="20" t="s">
        <v>2</v>
      </c>
      <c r="AM711" s="20" t="s">
        <v>47</v>
      </c>
      <c r="AN711" s="21">
        <v>1412.0</v>
      </c>
      <c r="AO711" s="21">
        <v>10.0</v>
      </c>
      <c r="AP711" s="20">
        <v>112885.0</v>
      </c>
      <c r="AQ711" s="20">
        <v>924.1</v>
      </c>
    </row>
    <row r="712" ht="22.5" hidden="1" customHeight="1">
      <c r="AJ712" s="20" t="s">
        <v>65</v>
      </c>
      <c r="AK712" s="21">
        <v>3.0</v>
      </c>
      <c r="AL712" s="20" t="s">
        <v>3</v>
      </c>
      <c r="AM712" s="20" t="s">
        <v>56</v>
      </c>
      <c r="AN712" s="21">
        <v>4996.0</v>
      </c>
      <c r="AO712" s="21">
        <v>20.0</v>
      </c>
      <c r="AP712" s="20">
        <v>115862.0</v>
      </c>
      <c r="AQ712" s="20">
        <v>924.19</v>
      </c>
    </row>
    <row r="713" ht="22.5" hidden="1" customHeight="1">
      <c r="AJ713" s="20" t="s">
        <v>65</v>
      </c>
      <c r="AK713" s="21">
        <v>3.0</v>
      </c>
      <c r="AL713" s="20" t="s">
        <v>2</v>
      </c>
      <c r="AM713" s="20" t="s">
        <v>48</v>
      </c>
      <c r="AN713" s="21">
        <v>1412.0</v>
      </c>
      <c r="AO713" s="21">
        <v>10.0</v>
      </c>
      <c r="AP713" s="20">
        <v>113378.0</v>
      </c>
      <c r="AQ713" s="20">
        <v>924.31</v>
      </c>
    </row>
    <row r="714" ht="22.5" hidden="1" customHeight="1">
      <c r="AJ714" s="20" t="s">
        <v>65</v>
      </c>
      <c r="AK714" s="21">
        <v>3.0</v>
      </c>
      <c r="AL714" s="20" t="s">
        <v>5</v>
      </c>
      <c r="AM714" s="20" t="s">
        <v>49</v>
      </c>
      <c r="AN714" s="21">
        <v>2948.0</v>
      </c>
      <c r="AO714" s="21">
        <v>20.0</v>
      </c>
      <c r="AP714" s="20">
        <v>117921.0</v>
      </c>
      <c r="AQ714" s="20">
        <v>924.44</v>
      </c>
    </row>
    <row r="715" ht="22.5" hidden="1" customHeight="1">
      <c r="AJ715" s="20" t="s">
        <v>65</v>
      </c>
      <c r="AK715" s="21">
        <v>3.0</v>
      </c>
      <c r="AL715" s="20" t="s">
        <v>4</v>
      </c>
      <c r="AM715" s="20" t="s">
        <v>56</v>
      </c>
      <c r="AN715" s="21">
        <v>1156.0</v>
      </c>
      <c r="AO715" s="21">
        <v>10.0</v>
      </c>
      <c r="AP715" s="20">
        <v>115862.0</v>
      </c>
      <c r="AQ715" s="20">
        <v>924.45</v>
      </c>
    </row>
    <row r="716" ht="22.5" hidden="1" customHeight="1">
      <c r="AJ716" s="20" t="s">
        <v>65</v>
      </c>
      <c r="AK716" s="21">
        <v>3.0</v>
      </c>
      <c r="AL716" s="20" t="s">
        <v>5</v>
      </c>
      <c r="AM716" s="20" t="s">
        <v>46</v>
      </c>
      <c r="AN716" s="21">
        <v>131972.0</v>
      </c>
      <c r="AO716" s="21">
        <v>20.0</v>
      </c>
      <c r="AP716" s="20">
        <v>107607.0</v>
      </c>
      <c r="AQ716" s="20">
        <v>924.47</v>
      </c>
    </row>
    <row r="717" ht="22.5" hidden="1" customHeight="1">
      <c r="AJ717" s="20" t="s">
        <v>65</v>
      </c>
      <c r="AK717" s="21">
        <v>3.0</v>
      </c>
      <c r="AL717" s="20" t="s">
        <v>5</v>
      </c>
      <c r="AM717" s="20" t="s">
        <v>46</v>
      </c>
      <c r="AN717" s="21">
        <v>2948.0</v>
      </c>
      <c r="AO717" s="21">
        <v>20.0</v>
      </c>
      <c r="AP717" s="20">
        <v>107607.0</v>
      </c>
      <c r="AQ717" s="20">
        <v>924.49</v>
      </c>
    </row>
    <row r="718" ht="22.5" hidden="1" customHeight="1">
      <c r="AJ718" s="20" t="s">
        <v>65</v>
      </c>
      <c r="AK718" s="21">
        <v>3.0</v>
      </c>
      <c r="AL718" s="20" t="s">
        <v>2</v>
      </c>
      <c r="AM718" s="20" t="s">
        <v>48</v>
      </c>
      <c r="AN718" s="21">
        <v>1156.0</v>
      </c>
      <c r="AO718" s="21">
        <v>10.0</v>
      </c>
      <c r="AP718" s="20">
        <v>113378.0</v>
      </c>
      <c r="AQ718" s="20">
        <v>924.57</v>
      </c>
    </row>
    <row r="719" ht="22.5" hidden="1" customHeight="1">
      <c r="AJ719" s="20" t="s">
        <v>65</v>
      </c>
      <c r="AK719" s="21">
        <v>3.0</v>
      </c>
      <c r="AL719" s="20" t="s">
        <v>5</v>
      </c>
      <c r="AM719" s="20" t="s">
        <v>57</v>
      </c>
      <c r="AN719" s="21">
        <v>4996.0</v>
      </c>
      <c r="AO719" s="21">
        <v>20.0</v>
      </c>
      <c r="AP719" s="20">
        <v>123736.0</v>
      </c>
      <c r="AQ719" s="20">
        <v>925.41</v>
      </c>
    </row>
    <row r="720" ht="22.5" hidden="1" customHeight="1">
      <c r="AJ720" s="20" t="s">
        <v>65</v>
      </c>
      <c r="AK720" s="21">
        <v>3.0</v>
      </c>
      <c r="AL720" s="20" t="s">
        <v>3</v>
      </c>
      <c r="AM720" s="20" t="s">
        <v>57</v>
      </c>
      <c r="AN720" s="21">
        <v>4996.0</v>
      </c>
      <c r="AO720" s="21">
        <v>20.0</v>
      </c>
      <c r="AP720" s="20">
        <v>123736.0</v>
      </c>
      <c r="AQ720" s="20">
        <v>925.43</v>
      </c>
    </row>
    <row r="721" ht="22.5" hidden="1" customHeight="1">
      <c r="AJ721" s="20" t="s">
        <v>65</v>
      </c>
      <c r="AK721" s="21">
        <v>3.0</v>
      </c>
      <c r="AL721" s="20" t="s">
        <v>2</v>
      </c>
      <c r="AM721" s="20" t="s">
        <v>56</v>
      </c>
      <c r="AN721" s="21">
        <v>1156.0</v>
      </c>
      <c r="AO721" s="21">
        <v>10.0</v>
      </c>
      <c r="AP721" s="20">
        <v>115862.0</v>
      </c>
      <c r="AQ721" s="20">
        <v>925.57</v>
      </c>
    </row>
    <row r="722" ht="22.5" hidden="1" customHeight="1">
      <c r="AJ722" s="20" t="s">
        <v>65</v>
      </c>
      <c r="AK722" s="21">
        <v>3.0</v>
      </c>
      <c r="AL722" s="20" t="s">
        <v>5</v>
      </c>
      <c r="AM722" s="20" t="s">
        <v>49</v>
      </c>
      <c r="AN722" s="21">
        <v>4996.0</v>
      </c>
      <c r="AO722" s="21">
        <v>20.0</v>
      </c>
      <c r="AP722" s="20">
        <v>117921.0</v>
      </c>
      <c r="AQ722" s="20">
        <v>927.2</v>
      </c>
    </row>
    <row r="723" ht="22.5" hidden="1" customHeight="1">
      <c r="AJ723" s="20" t="s">
        <v>65</v>
      </c>
      <c r="AK723" s="21">
        <v>3.0</v>
      </c>
      <c r="AL723" s="20" t="s">
        <v>4</v>
      </c>
      <c r="AM723" s="20" t="s">
        <v>48</v>
      </c>
      <c r="AN723" s="21">
        <v>1412.0</v>
      </c>
      <c r="AO723" s="21">
        <v>10.0</v>
      </c>
      <c r="AP723" s="20">
        <v>113378.0</v>
      </c>
      <c r="AQ723" s="20">
        <v>928.08</v>
      </c>
    </row>
    <row r="724" ht="22.5" hidden="1" customHeight="1">
      <c r="AJ724" s="20" t="s">
        <v>65</v>
      </c>
      <c r="AK724" s="21">
        <v>3.0</v>
      </c>
      <c r="AL724" s="20" t="s">
        <v>4</v>
      </c>
      <c r="AM724" s="20" t="s">
        <v>51</v>
      </c>
      <c r="AN724" s="21">
        <v>1156.0</v>
      </c>
      <c r="AO724" s="21">
        <v>10.0</v>
      </c>
      <c r="AP724" s="20">
        <v>107179.0</v>
      </c>
      <c r="AQ724" s="20">
        <v>928.08</v>
      </c>
    </row>
    <row r="725" ht="22.5" hidden="1" customHeight="1">
      <c r="AJ725" s="20" t="s">
        <v>65</v>
      </c>
      <c r="AK725" s="21">
        <v>3.0</v>
      </c>
      <c r="AL725" s="20" t="s">
        <v>5</v>
      </c>
      <c r="AM725" s="20" t="s">
        <v>48</v>
      </c>
      <c r="AN725" s="21">
        <v>131972.0</v>
      </c>
      <c r="AO725" s="21">
        <v>20.0</v>
      </c>
      <c r="AP725" s="20">
        <v>113378.0</v>
      </c>
      <c r="AQ725" s="20">
        <v>928.2</v>
      </c>
    </row>
    <row r="726" ht="22.5" hidden="1" customHeight="1">
      <c r="AJ726" s="20" t="s">
        <v>65</v>
      </c>
      <c r="AK726" s="21">
        <v>3.0</v>
      </c>
      <c r="AL726" s="20" t="s">
        <v>4</v>
      </c>
      <c r="AM726" s="20" t="s">
        <v>46</v>
      </c>
      <c r="AN726" s="21">
        <v>17284.0</v>
      </c>
      <c r="AO726" s="21">
        <v>10.0</v>
      </c>
      <c r="AP726" s="20">
        <v>107607.0</v>
      </c>
      <c r="AQ726" s="20">
        <v>928.4</v>
      </c>
    </row>
    <row r="727" ht="22.5" hidden="1" customHeight="1">
      <c r="AJ727" s="20" t="s">
        <v>65</v>
      </c>
      <c r="AK727" s="21">
        <v>3.0</v>
      </c>
      <c r="AL727" s="20" t="s">
        <v>5</v>
      </c>
      <c r="AM727" s="20" t="s">
        <v>57</v>
      </c>
      <c r="AN727" s="21">
        <v>1924.0</v>
      </c>
      <c r="AO727" s="21">
        <v>20.0</v>
      </c>
      <c r="AP727" s="20">
        <v>123736.0</v>
      </c>
      <c r="AQ727" s="20">
        <v>928.57</v>
      </c>
    </row>
    <row r="728" ht="22.5" hidden="1" customHeight="1">
      <c r="AJ728" s="20" t="s">
        <v>65</v>
      </c>
      <c r="AK728" s="21">
        <v>3.0</v>
      </c>
      <c r="AL728" s="20" t="s">
        <v>3</v>
      </c>
      <c r="AM728" s="20" t="s">
        <v>57</v>
      </c>
      <c r="AN728" s="21">
        <v>1924.0</v>
      </c>
      <c r="AO728" s="21">
        <v>20.0</v>
      </c>
      <c r="AP728" s="20">
        <v>123736.0</v>
      </c>
      <c r="AQ728" s="20">
        <v>929.1</v>
      </c>
    </row>
    <row r="729" ht="22.5" hidden="1" customHeight="1">
      <c r="AJ729" s="20" t="s">
        <v>65</v>
      </c>
      <c r="AK729" s="21">
        <v>3.0</v>
      </c>
      <c r="AL729" s="20" t="s">
        <v>4</v>
      </c>
      <c r="AM729" s="20" t="s">
        <v>54</v>
      </c>
      <c r="AN729" s="21">
        <v>131972.0</v>
      </c>
      <c r="AO729" s="21">
        <v>10.0</v>
      </c>
      <c r="AP729" s="20">
        <v>107420.0</v>
      </c>
      <c r="AQ729" s="20">
        <v>929.41</v>
      </c>
    </row>
    <row r="730" ht="22.5" hidden="1" customHeight="1">
      <c r="AJ730" s="20" t="s">
        <v>65</v>
      </c>
      <c r="AK730" s="21">
        <v>3.0</v>
      </c>
      <c r="AL730" s="20" t="s">
        <v>5</v>
      </c>
      <c r="AM730" s="20" t="s">
        <v>48</v>
      </c>
      <c r="AN730" s="21">
        <v>9092.0</v>
      </c>
      <c r="AO730" s="21">
        <v>20.0</v>
      </c>
      <c r="AP730" s="20">
        <v>113378.0</v>
      </c>
      <c r="AQ730" s="20">
        <v>929.55</v>
      </c>
    </row>
    <row r="731" ht="22.5" hidden="1" customHeight="1">
      <c r="AJ731" s="20" t="s">
        <v>65</v>
      </c>
      <c r="AK731" s="21">
        <v>3.0</v>
      </c>
      <c r="AL731" s="20" t="s">
        <v>3</v>
      </c>
      <c r="AM731" s="20" t="s">
        <v>56</v>
      </c>
      <c r="AN731" s="21">
        <v>2948.0</v>
      </c>
      <c r="AO731" s="21">
        <v>20.0</v>
      </c>
      <c r="AP731" s="20">
        <v>115862.0</v>
      </c>
      <c r="AQ731" s="20">
        <v>929.66</v>
      </c>
    </row>
    <row r="732" ht="22.5" hidden="1" customHeight="1">
      <c r="AJ732" s="20" t="s">
        <v>65</v>
      </c>
      <c r="AK732" s="21">
        <v>3.0</v>
      </c>
      <c r="AL732" s="20" t="s">
        <v>3</v>
      </c>
      <c r="AM732" s="20" t="s">
        <v>55</v>
      </c>
      <c r="AN732" s="21">
        <v>2948.0</v>
      </c>
      <c r="AO732" s="21">
        <v>20.0</v>
      </c>
      <c r="AP732" s="20">
        <v>114430.0</v>
      </c>
      <c r="AQ732" s="20">
        <v>930.08</v>
      </c>
    </row>
    <row r="733" ht="22.5" hidden="1" customHeight="1">
      <c r="AJ733" s="20" t="s">
        <v>65</v>
      </c>
      <c r="AK733" s="21">
        <v>3.0</v>
      </c>
      <c r="AL733" s="20" t="s">
        <v>4</v>
      </c>
      <c r="AM733" s="20" t="s">
        <v>48</v>
      </c>
      <c r="AN733" s="21">
        <v>1156.0</v>
      </c>
      <c r="AO733" s="21">
        <v>10.0</v>
      </c>
      <c r="AP733" s="20">
        <v>113378.0</v>
      </c>
      <c r="AQ733" s="20">
        <v>930.32</v>
      </c>
    </row>
    <row r="734" ht="22.5" hidden="1" customHeight="1">
      <c r="AJ734" s="20" t="s">
        <v>65</v>
      </c>
      <c r="AK734" s="21">
        <v>3.0</v>
      </c>
      <c r="AL734" s="20" t="s">
        <v>5</v>
      </c>
      <c r="AM734" s="20" t="s">
        <v>48</v>
      </c>
      <c r="AN734" s="21">
        <v>66436.0</v>
      </c>
      <c r="AO734" s="21">
        <v>20.0</v>
      </c>
      <c r="AP734" s="20">
        <v>113378.0</v>
      </c>
      <c r="AQ734" s="20">
        <v>930.67</v>
      </c>
    </row>
    <row r="735" ht="22.5" hidden="1" customHeight="1">
      <c r="AJ735" s="20" t="s">
        <v>65</v>
      </c>
      <c r="AK735" s="21">
        <v>3.0</v>
      </c>
      <c r="AL735" s="20" t="s">
        <v>4</v>
      </c>
      <c r="AM735" s="20" t="s">
        <v>56</v>
      </c>
      <c r="AN735" s="21">
        <v>9092.0</v>
      </c>
      <c r="AO735" s="21">
        <v>10.0</v>
      </c>
      <c r="AP735" s="20">
        <v>115862.0</v>
      </c>
      <c r="AQ735" s="20">
        <v>931.58</v>
      </c>
    </row>
    <row r="736" ht="22.5" hidden="1" customHeight="1">
      <c r="AJ736" s="20" t="s">
        <v>65</v>
      </c>
      <c r="AK736" s="21">
        <v>3.0</v>
      </c>
      <c r="AL736" s="20" t="s">
        <v>5</v>
      </c>
      <c r="AM736" s="20" t="s">
        <v>55</v>
      </c>
      <c r="AN736" s="21">
        <v>1156.0</v>
      </c>
      <c r="AO736" s="21">
        <v>20.0</v>
      </c>
      <c r="AP736" s="20">
        <v>114430.0</v>
      </c>
      <c r="AQ736" s="20">
        <v>931.67</v>
      </c>
    </row>
    <row r="737" ht="22.5" hidden="1" customHeight="1">
      <c r="AJ737" s="20" t="s">
        <v>65</v>
      </c>
      <c r="AK737" s="21">
        <v>3.0</v>
      </c>
      <c r="AL737" s="20" t="s">
        <v>5</v>
      </c>
      <c r="AM737" s="20" t="s">
        <v>56</v>
      </c>
      <c r="AN737" s="21">
        <v>2948.0</v>
      </c>
      <c r="AO737" s="21">
        <v>20.0</v>
      </c>
      <c r="AP737" s="20">
        <v>115862.0</v>
      </c>
      <c r="AQ737" s="20">
        <v>933.65</v>
      </c>
    </row>
    <row r="738" ht="22.5" hidden="1" customHeight="1">
      <c r="AJ738" s="20" t="s">
        <v>65</v>
      </c>
      <c r="AK738" s="21">
        <v>3.0</v>
      </c>
      <c r="AL738" s="20" t="s">
        <v>4</v>
      </c>
      <c r="AM738" s="20" t="s">
        <v>52</v>
      </c>
      <c r="AN738" s="21">
        <v>33668.0</v>
      </c>
      <c r="AO738" s="21">
        <v>10.0</v>
      </c>
      <c r="AP738" s="20">
        <v>108829.0</v>
      </c>
      <c r="AQ738" s="20">
        <v>934.48</v>
      </c>
    </row>
    <row r="739" ht="22.5" hidden="1" customHeight="1">
      <c r="AJ739" s="20" t="s">
        <v>65</v>
      </c>
      <c r="AK739" s="21">
        <v>3.0</v>
      </c>
      <c r="AL739" s="20" t="s">
        <v>2</v>
      </c>
      <c r="AM739" s="20" t="s">
        <v>48</v>
      </c>
      <c r="AN739" s="21">
        <v>4996.0</v>
      </c>
      <c r="AO739" s="21">
        <v>10.0</v>
      </c>
      <c r="AP739" s="20">
        <v>113378.0</v>
      </c>
      <c r="AQ739" s="20">
        <v>934.71</v>
      </c>
    </row>
    <row r="740" ht="22.5" hidden="1" customHeight="1">
      <c r="AJ740" s="20" t="s">
        <v>65</v>
      </c>
      <c r="AK740" s="21">
        <v>3.0</v>
      </c>
      <c r="AL740" s="20" t="s">
        <v>4</v>
      </c>
      <c r="AM740" s="20" t="s">
        <v>56</v>
      </c>
      <c r="AN740" s="21">
        <v>33668.0</v>
      </c>
      <c r="AO740" s="21">
        <v>10.0</v>
      </c>
      <c r="AP740" s="20">
        <v>115862.0</v>
      </c>
      <c r="AQ740" s="20">
        <v>934.84</v>
      </c>
    </row>
    <row r="741" ht="22.5" hidden="1" customHeight="1">
      <c r="AJ741" s="20" t="s">
        <v>65</v>
      </c>
      <c r="AK741" s="21">
        <v>3.0</v>
      </c>
      <c r="AL741" s="20" t="s">
        <v>5</v>
      </c>
      <c r="AM741" s="20" t="s">
        <v>55</v>
      </c>
      <c r="AN741" s="21">
        <v>1924.0</v>
      </c>
      <c r="AO741" s="21">
        <v>20.0</v>
      </c>
      <c r="AP741" s="20">
        <v>114430.0</v>
      </c>
      <c r="AQ741" s="20">
        <v>934.9</v>
      </c>
    </row>
    <row r="742" ht="22.5" hidden="1" customHeight="1">
      <c r="AJ742" s="20" t="s">
        <v>65</v>
      </c>
      <c r="AK742" s="21">
        <v>3.0</v>
      </c>
      <c r="AL742" s="20" t="s">
        <v>4</v>
      </c>
      <c r="AM742" s="20" t="s">
        <v>46</v>
      </c>
      <c r="AN742" s="21">
        <v>131972.0</v>
      </c>
      <c r="AO742" s="21">
        <v>10.0</v>
      </c>
      <c r="AP742" s="20">
        <v>107607.0</v>
      </c>
      <c r="AQ742" s="20">
        <v>935.34</v>
      </c>
    </row>
    <row r="743" ht="22.5" hidden="1" customHeight="1">
      <c r="AJ743" s="20" t="s">
        <v>65</v>
      </c>
      <c r="AK743" s="21">
        <v>4.0</v>
      </c>
      <c r="AL743" s="20" t="s">
        <v>2</v>
      </c>
      <c r="AM743" s="20" t="s">
        <v>50</v>
      </c>
      <c r="AN743" s="21">
        <v>1156.0</v>
      </c>
      <c r="AO743" s="21">
        <v>10.0</v>
      </c>
      <c r="AP743" s="20">
        <v>76445.0</v>
      </c>
      <c r="AQ743" s="20">
        <v>935.74</v>
      </c>
    </row>
    <row r="744" ht="22.5" hidden="1" customHeight="1">
      <c r="AJ744" s="20" t="s">
        <v>65</v>
      </c>
      <c r="AK744" s="21">
        <v>3.0</v>
      </c>
      <c r="AL744" s="20" t="s">
        <v>4</v>
      </c>
      <c r="AM744" s="20" t="s">
        <v>46</v>
      </c>
      <c r="AN744" s="21">
        <v>33668.0</v>
      </c>
      <c r="AO744" s="21">
        <v>10.0</v>
      </c>
      <c r="AP744" s="20">
        <v>107607.0</v>
      </c>
      <c r="AQ744" s="20">
        <v>935.86</v>
      </c>
    </row>
    <row r="745" ht="22.5" hidden="1" customHeight="1">
      <c r="AJ745" s="20" t="s">
        <v>65</v>
      </c>
      <c r="AK745" s="21">
        <v>3.0</v>
      </c>
      <c r="AL745" s="20" t="s">
        <v>5</v>
      </c>
      <c r="AM745" s="20" t="s">
        <v>56</v>
      </c>
      <c r="AN745" s="21">
        <v>17284.0</v>
      </c>
      <c r="AO745" s="21">
        <v>20.0</v>
      </c>
      <c r="AP745" s="20">
        <v>115862.0</v>
      </c>
      <c r="AQ745" s="20">
        <v>935.98</v>
      </c>
    </row>
    <row r="746" ht="22.5" hidden="1" customHeight="1">
      <c r="AJ746" s="20" t="s">
        <v>65</v>
      </c>
      <c r="AK746" s="21">
        <v>3.0</v>
      </c>
      <c r="AL746" s="20" t="s">
        <v>3</v>
      </c>
      <c r="AM746" s="20" t="s">
        <v>55</v>
      </c>
      <c r="AN746" s="21">
        <v>1924.0</v>
      </c>
      <c r="AO746" s="21">
        <v>20.0</v>
      </c>
      <c r="AP746" s="20">
        <v>114430.0</v>
      </c>
      <c r="AQ746" s="20">
        <v>936.31</v>
      </c>
    </row>
    <row r="747" ht="22.5" hidden="1" customHeight="1">
      <c r="AJ747" s="20" t="s">
        <v>65</v>
      </c>
      <c r="AK747" s="21">
        <v>2.0</v>
      </c>
      <c r="AL747" s="20" t="s">
        <v>3</v>
      </c>
      <c r="AM747" s="20" t="s">
        <v>53</v>
      </c>
      <c r="AN747" s="21">
        <v>4996.0</v>
      </c>
      <c r="AO747" s="21">
        <v>20.0</v>
      </c>
      <c r="AP747" s="20">
        <v>160641.0</v>
      </c>
      <c r="AQ747" s="20">
        <v>936.32</v>
      </c>
    </row>
    <row r="748" ht="22.5" hidden="1" customHeight="1">
      <c r="AJ748" s="20" t="s">
        <v>65</v>
      </c>
      <c r="AK748" s="21">
        <v>3.0</v>
      </c>
      <c r="AL748" s="20" t="s">
        <v>5</v>
      </c>
      <c r="AM748" s="20" t="s">
        <v>57</v>
      </c>
      <c r="AN748" s="21">
        <v>33668.0</v>
      </c>
      <c r="AO748" s="21">
        <v>20.0</v>
      </c>
      <c r="AP748" s="20">
        <v>123736.0</v>
      </c>
      <c r="AQ748" s="20">
        <v>936.85</v>
      </c>
    </row>
    <row r="749" ht="22.5" hidden="1" customHeight="1">
      <c r="AJ749" s="20" t="s">
        <v>65</v>
      </c>
      <c r="AK749" s="21">
        <v>3.0</v>
      </c>
      <c r="AL749" s="20" t="s">
        <v>3</v>
      </c>
      <c r="AM749" s="20" t="s">
        <v>52</v>
      </c>
      <c r="AN749" s="21">
        <v>2948.0</v>
      </c>
      <c r="AO749" s="21">
        <v>20.0</v>
      </c>
      <c r="AP749" s="20">
        <v>108829.0</v>
      </c>
      <c r="AQ749" s="20">
        <v>937.27</v>
      </c>
    </row>
    <row r="750" ht="22.5" hidden="1" customHeight="1">
      <c r="AJ750" s="20" t="s">
        <v>65</v>
      </c>
      <c r="AK750" s="21">
        <v>3.0</v>
      </c>
      <c r="AL750" s="20" t="s">
        <v>5</v>
      </c>
      <c r="AM750" s="20" t="s">
        <v>52</v>
      </c>
      <c r="AN750" s="21">
        <v>33668.0</v>
      </c>
      <c r="AO750" s="21">
        <v>20.0</v>
      </c>
      <c r="AP750" s="20">
        <v>108829.0</v>
      </c>
      <c r="AQ750" s="20">
        <v>937.78</v>
      </c>
    </row>
    <row r="751" ht="22.5" hidden="1" customHeight="1">
      <c r="AJ751" s="20" t="s">
        <v>65</v>
      </c>
      <c r="AK751" s="21">
        <v>3.0</v>
      </c>
      <c r="AL751" s="20" t="s">
        <v>3</v>
      </c>
      <c r="AM751" s="20" t="s">
        <v>46</v>
      </c>
      <c r="AN751" s="21">
        <v>1412.0</v>
      </c>
      <c r="AO751" s="21">
        <v>20.0</v>
      </c>
      <c r="AP751" s="20">
        <v>107607.0</v>
      </c>
      <c r="AQ751" s="20">
        <v>938.3</v>
      </c>
    </row>
    <row r="752" ht="22.5" hidden="1" customHeight="1">
      <c r="AJ752" s="20" t="s">
        <v>65</v>
      </c>
      <c r="AK752" s="21">
        <v>3.0</v>
      </c>
      <c r="AL752" s="20" t="s">
        <v>4</v>
      </c>
      <c r="AM752" s="20" t="s">
        <v>46</v>
      </c>
      <c r="AN752" s="21">
        <v>1156.0</v>
      </c>
      <c r="AO752" s="21">
        <v>10.0</v>
      </c>
      <c r="AP752" s="20">
        <v>107607.0</v>
      </c>
      <c r="AQ752" s="20">
        <v>938.41</v>
      </c>
    </row>
    <row r="753" ht="22.5" hidden="1" customHeight="1">
      <c r="AJ753" s="20" t="s">
        <v>65</v>
      </c>
      <c r="AK753" s="21">
        <v>3.0</v>
      </c>
      <c r="AL753" s="20" t="s">
        <v>3</v>
      </c>
      <c r="AM753" s="20" t="s">
        <v>57</v>
      </c>
      <c r="AN753" s="21">
        <v>1156.0</v>
      </c>
      <c r="AO753" s="21">
        <v>20.0</v>
      </c>
      <c r="AP753" s="20">
        <v>123736.0</v>
      </c>
      <c r="AQ753" s="20">
        <v>939.01</v>
      </c>
    </row>
    <row r="754" ht="22.5" hidden="1" customHeight="1">
      <c r="AJ754" s="20" t="s">
        <v>65</v>
      </c>
      <c r="AK754" s="21">
        <v>3.0</v>
      </c>
      <c r="AL754" s="20" t="s">
        <v>5</v>
      </c>
      <c r="AM754" s="20" t="s">
        <v>55</v>
      </c>
      <c r="AN754" s="21">
        <v>4996.0</v>
      </c>
      <c r="AO754" s="21">
        <v>20.0</v>
      </c>
      <c r="AP754" s="20">
        <v>114430.0</v>
      </c>
      <c r="AQ754" s="20">
        <v>939.1</v>
      </c>
    </row>
    <row r="755" ht="22.5" hidden="1" customHeight="1">
      <c r="AJ755" s="20" t="s">
        <v>65</v>
      </c>
      <c r="AK755" s="21">
        <v>3.0</v>
      </c>
      <c r="AL755" s="20" t="s">
        <v>4</v>
      </c>
      <c r="AM755" s="20" t="s">
        <v>48</v>
      </c>
      <c r="AN755" s="21">
        <v>33668.0</v>
      </c>
      <c r="AO755" s="21">
        <v>10.0</v>
      </c>
      <c r="AP755" s="20">
        <v>113378.0</v>
      </c>
      <c r="AQ755" s="20">
        <v>940.24</v>
      </c>
    </row>
    <row r="756" ht="22.5" hidden="1" customHeight="1">
      <c r="AJ756" s="20" t="s">
        <v>65</v>
      </c>
      <c r="AK756" s="21">
        <v>3.0</v>
      </c>
      <c r="AL756" s="20" t="s">
        <v>3</v>
      </c>
      <c r="AM756" s="20" t="s">
        <v>54</v>
      </c>
      <c r="AN756" s="21">
        <v>1156.0</v>
      </c>
      <c r="AO756" s="21">
        <v>20.0</v>
      </c>
      <c r="AP756" s="20">
        <v>107420.0</v>
      </c>
      <c r="AQ756" s="20">
        <v>940.29</v>
      </c>
    </row>
    <row r="757" ht="22.5" hidden="1" customHeight="1">
      <c r="AJ757" s="20" t="s">
        <v>65</v>
      </c>
      <c r="AK757" s="21">
        <v>3.0</v>
      </c>
      <c r="AL757" s="20" t="s">
        <v>5</v>
      </c>
      <c r="AM757" s="20" t="s">
        <v>57</v>
      </c>
      <c r="AN757" s="21">
        <v>1156.0</v>
      </c>
      <c r="AO757" s="21">
        <v>20.0</v>
      </c>
      <c r="AP757" s="20">
        <v>123736.0</v>
      </c>
      <c r="AQ757" s="20">
        <v>940.55</v>
      </c>
    </row>
    <row r="758" ht="22.5" hidden="1" customHeight="1">
      <c r="AJ758" s="20" t="s">
        <v>65</v>
      </c>
      <c r="AK758" s="21">
        <v>3.0</v>
      </c>
      <c r="AL758" s="20" t="s">
        <v>4</v>
      </c>
      <c r="AM758" s="20" t="s">
        <v>52</v>
      </c>
      <c r="AN758" s="21">
        <v>9092.0</v>
      </c>
      <c r="AO758" s="21">
        <v>10.0</v>
      </c>
      <c r="AP758" s="20">
        <v>108829.0</v>
      </c>
      <c r="AQ758" s="20">
        <v>940.95</v>
      </c>
    </row>
    <row r="759" ht="22.5" hidden="1" customHeight="1">
      <c r="AJ759" s="20" t="s">
        <v>65</v>
      </c>
      <c r="AK759" s="21">
        <v>3.0</v>
      </c>
      <c r="AL759" s="20" t="s">
        <v>3</v>
      </c>
      <c r="AM759" s="20" t="s">
        <v>46</v>
      </c>
      <c r="AN759" s="21">
        <v>2948.0</v>
      </c>
      <c r="AO759" s="21">
        <v>20.0</v>
      </c>
      <c r="AP759" s="20">
        <v>107607.0</v>
      </c>
      <c r="AQ759" s="20">
        <v>941.44</v>
      </c>
    </row>
    <row r="760" ht="22.5" hidden="1" customHeight="1">
      <c r="AJ760" s="20" t="s">
        <v>65</v>
      </c>
      <c r="AK760" s="21">
        <v>3.0</v>
      </c>
      <c r="AL760" s="20" t="s">
        <v>5</v>
      </c>
      <c r="AM760" s="20" t="s">
        <v>57</v>
      </c>
      <c r="AN760" s="21">
        <v>66436.0</v>
      </c>
      <c r="AO760" s="21">
        <v>20.0</v>
      </c>
      <c r="AP760" s="20">
        <v>123736.0</v>
      </c>
      <c r="AQ760" s="20">
        <v>941.57</v>
      </c>
    </row>
    <row r="761" ht="22.5" hidden="1" customHeight="1">
      <c r="AJ761" s="20" t="s">
        <v>65</v>
      </c>
      <c r="AK761" s="21">
        <v>3.0</v>
      </c>
      <c r="AL761" s="20" t="s">
        <v>2</v>
      </c>
      <c r="AM761" s="20" t="s">
        <v>46</v>
      </c>
      <c r="AN761" s="21">
        <v>1156.0</v>
      </c>
      <c r="AO761" s="21">
        <v>10.0</v>
      </c>
      <c r="AP761" s="20">
        <v>107607.0</v>
      </c>
      <c r="AQ761" s="20">
        <v>941.76</v>
      </c>
    </row>
    <row r="762" ht="22.5" hidden="1" customHeight="1">
      <c r="AJ762" s="20" t="s">
        <v>65</v>
      </c>
      <c r="AK762" s="21">
        <v>3.0</v>
      </c>
      <c r="AL762" s="20" t="s">
        <v>2</v>
      </c>
      <c r="AM762" s="20" t="s">
        <v>57</v>
      </c>
      <c r="AN762" s="21">
        <v>1156.0</v>
      </c>
      <c r="AO762" s="21">
        <v>10.0</v>
      </c>
      <c r="AP762" s="20">
        <v>123736.0</v>
      </c>
      <c r="AQ762" s="20">
        <v>941.79</v>
      </c>
    </row>
    <row r="763" ht="22.5" hidden="1" customHeight="1">
      <c r="AJ763" s="20" t="s">
        <v>65</v>
      </c>
      <c r="AK763" s="21">
        <v>3.0</v>
      </c>
      <c r="AL763" s="20" t="s">
        <v>2</v>
      </c>
      <c r="AM763" s="20" t="s">
        <v>52</v>
      </c>
      <c r="AN763" s="21">
        <v>1412.0</v>
      </c>
      <c r="AO763" s="21">
        <v>10.0</v>
      </c>
      <c r="AP763" s="20">
        <v>108829.0</v>
      </c>
      <c r="AQ763" s="20">
        <v>941.82</v>
      </c>
    </row>
    <row r="764" ht="22.5" hidden="1" customHeight="1">
      <c r="AJ764" s="20" t="s">
        <v>65</v>
      </c>
      <c r="AK764" s="21">
        <v>3.0</v>
      </c>
      <c r="AL764" s="20" t="s">
        <v>5</v>
      </c>
      <c r="AM764" s="20" t="s">
        <v>57</v>
      </c>
      <c r="AN764" s="21">
        <v>131972.0</v>
      </c>
      <c r="AO764" s="21">
        <v>20.0</v>
      </c>
      <c r="AP764" s="20">
        <v>123736.0</v>
      </c>
      <c r="AQ764" s="20">
        <v>941.86</v>
      </c>
    </row>
    <row r="765" ht="22.5" hidden="1" customHeight="1">
      <c r="AJ765" s="20" t="s">
        <v>65</v>
      </c>
      <c r="AK765" s="21">
        <v>3.0</v>
      </c>
      <c r="AL765" s="20" t="s">
        <v>5</v>
      </c>
      <c r="AM765" s="20" t="s">
        <v>48</v>
      </c>
      <c r="AN765" s="21">
        <v>1156.0</v>
      </c>
      <c r="AO765" s="21">
        <v>20.0</v>
      </c>
      <c r="AP765" s="20">
        <v>113378.0</v>
      </c>
      <c r="AQ765" s="20">
        <v>943.42</v>
      </c>
    </row>
    <row r="766" ht="22.5" hidden="1" customHeight="1">
      <c r="AJ766" s="20" t="s">
        <v>65</v>
      </c>
      <c r="AK766" s="21">
        <v>3.0</v>
      </c>
      <c r="AL766" s="20" t="s">
        <v>5</v>
      </c>
      <c r="AM766" s="20" t="s">
        <v>56</v>
      </c>
      <c r="AN766" s="21">
        <v>1156.0</v>
      </c>
      <c r="AO766" s="21">
        <v>20.0</v>
      </c>
      <c r="AP766" s="20">
        <v>115862.0</v>
      </c>
      <c r="AQ766" s="20">
        <v>944.09</v>
      </c>
    </row>
    <row r="767" ht="22.5" hidden="1" customHeight="1">
      <c r="AJ767" s="20" t="s">
        <v>65</v>
      </c>
      <c r="AK767" s="21">
        <v>3.0</v>
      </c>
      <c r="AL767" s="20" t="s">
        <v>5</v>
      </c>
      <c r="AM767" s="20" t="s">
        <v>49</v>
      </c>
      <c r="AN767" s="21">
        <v>9092.0</v>
      </c>
      <c r="AO767" s="21">
        <v>20.0</v>
      </c>
      <c r="AP767" s="20">
        <v>117921.0</v>
      </c>
      <c r="AQ767" s="20">
        <v>944.18</v>
      </c>
    </row>
    <row r="768" ht="22.5" hidden="1" customHeight="1">
      <c r="AJ768" s="20" t="s">
        <v>65</v>
      </c>
      <c r="AK768" s="21">
        <v>3.0</v>
      </c>
      <c r="AL768" s="20" t="s">
        <v>5</v>
      </c>
      <c r="AM768" s="20" t="s">
        <v>54</v>
      </c>
      <c r="AN768" s="21">
        <v>1156.0</v>
      </c>
      <c r="AO768" s="21">
        <v>20.0</v>
      </c>
      <c r="AP768" s="20">
        <v>107420.0</v>
      </c>
      <c r="AQ768" s="20">
        <v>944.24</v>
      </c>
    </row>
    <row r="769" ht="22.5" hidden="1" customHeight="1">
      <c r="AJ769" s="20" t="s">
        <v>65</v>
      </c>
      <c r="AK769" s="21">
        <v>3.0</v>
      </c>
      <c r="AL769" s="20" t="s">
        <v>3</v>
      </c>
      <c r="AM769" s="20" t="s">
        <v>47</v>
      </c>
      <c r="AN769" s="21">
        <v>1412.0</v>
      </c>
      <c r="AO769" s="21">
        <v>20.0</v>
      </c>
      <c r="AP769" s="20">
        <v>112885.0</v>
      </c>
      <c r="AQ769" s="20">
        <v>944.38</v>
      </c>
    </row>
    <row r="770" ht="22.5" hidden="1" customHeight="1">
      <c r="AJ770" s="20" t="s">
        <v>65</v>
      </c>
      <c r="AK770" s="21">
        <v>3.0</v>
      </c>
      <c r="AL770" s="20" t="s">
        <v>5</v>
      </c>
      <c r="AM770" s="20" t="s">
        <v>55</v>
      </c>
      <c r="AN770" s="21">
        <v>9092.0</v>
      </c>
      <c r="AO770" s="21">
        <v>20.0</v>
      </c>
      <c r="AP770" s="20">
        <v>114430.0</v>
      </c>
      <c r="AQ770" s="20">
        <v>944.59</v>
      </c>
    </row>
    <row r="771" ht="22.5" hidden="1" customHeight="1">
      <c r="AJ771" s="20" t="s">
        <v>65</v>
      </c>
      <c r="AK771" s="21">
        <v>3.0</v>
      </c>
      <c r="AL771" s="20" t="s">
        <v>3</v>
      </c>
      <c r="AM771" s="20" t="s">
        <v>48</v>
      </c>
      <c r="AN771" s="21">
        <v>1412.0</v>
      </c>
      <c r="AO771" s="21">
        <v>20.0</v>
      </c>
      <c r="AP771" s="20">
        <v>113378.0</v>
      </c>
      <c r="AQ771" s="20">
        <v>944.62</v>
      </c>
    </row>
    <row r="772" ht="22.5" hidden="1" customHeight="1">
      <c r="AJ772" s="20" t="s">
        <v>65</v>
      </c>
      <c r="AK772" s="21">
        <v>3.0</v>
      </c>
      <c r="AL772" s="20" t="s">
        <v>2</v>
      </c>
      <c r="AM772" s="20" t="s">
        <v>52</v>
      </c>
      <c r="AN772" s="21">
        <v>1924.0</v>
      </c>
      <c r="AO772" s="21">
        <v>10.0</v>
      </c>
      <c r="AP772" s="20">
        <v>108829.0</v>
      </c>
      <c r="AQ772" s="20">
        <v>944.97</v>
      </c>
    </row>
    <row r="773" ht="22.5" hidden="1" customHeight="1">
      <c r="AJ773" s="20" t="s">
        <v>65</v>
      </c>
      <c r="AK773" s="21">
        <v>3.0</v>
      </c>
      <c r="AL773" s="20" t="s">
        <v>4</v>
      </c>
      <c r="AM773" s="20" t="s">
        <v>52</v>
      </c>
      <c r="AN773" s="21">
        <v>1412.0</v>
      </c>
      <c r="AO773" s="21">
        <v>10.0</v>
      </c>
      <c r="AP773" s="20">
        <v>108829.0</v>
      </c>
      <c r="AQ773" s="20">
        <v>945.02</v>
      </c>
    </row>
    <row r="774" ht="22.5" hidden="1" customHeight="1">
      <c r="AJ774" s="20" t="s">
        <v>65</v>
      </c>
      <c r="AK774" s="21">
        <v>3.0</v>
      </c>
      <c r="AL774" s="20" t="s">
        <v>2</v>
      </c>
      <c r="AM774" s="20" t="s">
        <v>48</v>
      </c>
      <c r="AN774" s="21">
        <v>2948.0</v>
      </c>
      <c r="AO774" s="21">
        <v>10.0</v>
      </c>
      <c r="AP774" s="20">
        <v>113378.0</v>
      </c>
      <c r="AQ774" s="20">
        <v>945.55</v>
      </c>
    </row>
    <row r="775" ht="22.5" hidden="1" customHeight="1">
      <c r="AJ775" s="20" t="s">
        <v>65</v>
      </c>
      <c r="AK775" s="21">
        <v>3.0</v>
      </c>
      <c r="AL775" s="20" t="s">
        <v>3</v>
      </c>
      <c r="AM775" s="20" t="s">
        <v>48</v>
      </c>
      <c r="AN775" s="21">
        <v>1156.0</v>
      </c>
      <c r="AO775" s="21">
        <v>20.0</v>
      </c>
      <c r="AP775" s="20">
        <v>113378.0</v>
      </c>
      <c r="AQ775" s="20">
        <v>945.64</v>
      </c>
    </row>
    <row r="776" ht="22.5" hidden="1" customHeight="1">
      <c r="AJ776" s="20" t="s">
        <v>65</v>
      </c>
      <c r="AK776" s="21">
        <v>3.0</v>
      </c>
      <c r="AL776" s="20" t="s">
        <v>5</v>
      </c>
      <c r="AM776" s="20" t="s">
        <v>48</v>
      </c>
      <c r="AN776" s="21">
        <v>17284.0</v>
      </c>
      <c r="AO776" s="21">
        <v>20.0</v>
      </c>
      <c r="AP776" s="20">
        <v>113378.0</v>
      </c>
      <c r="AQ776" s="20">
        <v>945.69</v>
      </c>
    </row>
    <row r="777" ht="22.5" hidden="1" customHeight="1">
      <c r="AJ777" s="20" t="s">
        <v>65</v>
      </c>
      <c r="AK777" s="21">
        <v>3.0</v>
      </c>
      <c r="AL777" s="20" t="s">
        <v>4</v>
      </c>
      <c r="AM777" s="20" t="s">
        <v>48</v>
      </c>
      <c r="AN777" s="21">
        <v>17284.0</v>
      </c>
      <c r="AO777" s="21">
        <v>10.0</v>
      </c>
      <c r="AP777" s="20">
        <v>113378.0</v>
      </c>
      <c r="AQ777" s="20">
        <v>946.26</v>
      </c>
    </row>
    <row r="778" ht="22.5" hidden="1" customHeight="1">
      <c r="AJ778" s="20" t="s">
        <v>65</v>
      </c>
      <c r="AK778" s="21">
        <v>3.0</v>
      </c>
      <c r="AL778" s="20" t="s">
        <v>4</v>
      </c>
      <c r="AM778" s="20" t="s">
        <v>47</v>
      </c>
      <c r="AN778" s="21">
        <v>33668.0</v>
      </c>
      <c r="AO778" s="21">
        <v>10.0</v>
      </c>
      <c r="AP778" s="20">
        <v>112885.0</v>
      </c>
      <c r="AQ778" s="20">
        <v>946.66</v>
      </c>
    </row>
    <row r="779" ht="22.5" hidden="1" customHeight="1">
      <c r="AJ779" s="20" t="s">
        <v>65</v>
      </c>
      <c r="AK779" s="21">
        <v>3.0</v>
      </c>
      <c r="AL779" s="20" t="s">
        <v>5</v>
      </c>
      <c r="AM779" s="20" t="s">
        <v>47</v>
      </c>
      <c r="AN779" s="21">
        <v>1412.0</v>
      </c>
      <c r="AO779" s="21">
        <v>20.0</v>
      </c>
      <c r="AP779" s="20">
        <v>112885.0</v>
      </c>
      <c r="AQ779" s="20">
        <v>947.21</v>
      </c>
    </row>
    <row r="780" ht="22.5" hidden="1" customHeight="1">
      <c r="AJ780" s="20" t="s">
        <v>65</v>
      </c>
      <c r="AK780" s="21">
        <v>3.0</v>
      </c>
      <c r="AL780" s="20" t="s">
        <v>4</v>
      </c>
      <c r="AM780" s="20" t="s">
        <v>46</v>
      </c>
      <c r="AN780" s="21">
        <v>66436.0</v>
      </c>
      <c r="AO780" s="21">
        <v>10.0</v>
      </c>
      <c r="AP780" s="20">
        <v>107607.0</v>
      </c>
      <c r="AQ780" s="20">
        <v>947.68</v>
      </c>
    </row>
    <row r="781" ht="22.5" hidden="1" customHeight="1">
      <c r="AJ781" s="20" t="s">
        <v>65</v>
      </c>
      <c r="AK781" s="21">
        <v>3.0</v>
      </c>
      <c r="AL781" s="20" t="s">
        <v>2</v>
      </c>
      <c r="AM781" s="20" t="s">
        <v>57</v>
      </c>
      <c r="AN781" s="21">
        <v>2948.0</v>
      </c>
      <c r="AO781" s="21">
        <v>10.0</v>
      </c>
      <c r="AP781" s="20">
        <v>123736.0</v>
      </c>
      <c r="AQ781" s="20">
        <v>947.8</v>
      </c>
    </row>
    <row r="782" ht="22.5" hidden="1" customHeight="1">
      <c r="AJ782" s="20" t="s">
        <v>65</v>
      </c>
      <c r="AK782" s="21">
        <v>3.0</v>
      </c>
      <c r="AL782" s="20" t="s">
        <v>4</v>
      </c>
      <c r="AM782" s="20" t="s">
        <v>46</v>
      </c>
      <c r="AN782" s="21">
        <v>1412.0</v>
      </c>
      <c r="AO782" s="21">
        <v>10.0</v>
      </c>
      <c r="AP782" s="20">
        <v>107607.0</v>
      </c>
      <c r="AQ782" s="20">
        <v>947.92</v>
      </c>
    </row>
    <row r="783" ht="22.5" hidden="1" customHeight="1">
      <c r="AJ783" s="20" t="s">
        <v>65</v>
      </c>
      <c r="AK783" s="21">
        <v>3.0</v>
      </c>
      <c r="AL783" s="20" t="s">
        <v>5</v>
      </c>
      <c r="AM783" s="20" t="s">
        <v>55</v>
      </c>
      <c r="AN783" s="21">
        <v>17284.0</v>
      </c>
      <c r="AO783" s="21">
        <v>20.0</v>
      </c>
      <c r="AP783" s="20">
        <v>114430.0</v>
      </c>
      <c r="AQ783" s="20">
        <v>948.91</v>
      </c>
    </row>
    <row r="784" ht="22.5" hidden="1" customHeight="1">
      <c r="AJ784" s="20" t="s">
        <v>65</v>
      </c>
      <c r="AK784" s="21">
        <v>3.0</v>
      </c>
      <c r="AL784" s="20" t="s">
        <v>4</v>
      </c>
      <c r="AM784" s="20" t="s">
        <v>52</v>
      </c>
      <c r="AN784" s="21">
        <v>1924.0</v>
      </c>
      <c r="AO784" s="21">
        <v>10.0</v>
      </c>
      <c r="AP784" s="20">
        <v>108829.0</v>
      </c>
      <c r="AQ784" s="20">
        <v>949.7</v>
      </c>
    </row>
    <row r="785" ht="22.5" hidden="1" customHeight="1">
      <c r="AJ785" s="20" t="s">
        <v>65</v>
      </c>
      <c r="AK785" s="21">
        <v>3.0</v>
      </c>
      <c r="AL785" s="20" t="s">
        <v>5</v>
      </c>
      <c r="AM785" s="20" t="s">
        <v>54</v>
      </c>
      <c r="AN785" s="21">
        <v>131972.0</v>
      </c>
      <c r="AO785" s="21">
        <v>20.0</v>
      </c>
      <c r="AP785" s="20">
        <v>107420.0</v>
      </c>
      <c r="AQ785" s="20">
        <v>950.51</v>
      </c>
    </row>
    <row r="786" ht="22.5" hidden="1" customHeight="1">
      <c r="AJ786" s="20" t="s">
        <v>65</v>
      </c>
      <c r="AK786" s="21">
        <v>3.0</v>
      </c>
      <c r="AL786" s="20" t="s">
        <v>5</v>
      </c>
      <c r="AM786" s="20" t="s">
        <v>48</v>
      </c>
      <c r="AN786" s="21">
        <v>1412.0</v>
      </c>
      <c r="AO786" s="21">
        <v>20.0</v>
      </c>
      <c r="AP786" s="20">
        <v>113378.0</v>
      </c>
      <c r="AQ786" s="20">
        <v>950.56</v>
      </c>
    </row>
    <row r="787" ht="22.5" hidden="1" customHeight="1">
      <c r="AJ787" s="20" t="s">
        <v>65</v>
      </c>
      <c r="AK787" s="21">
        <v>3.0</v>
      </c>
      <c r="AL787" s="20" t="s">
        <v>4</v>
      </c>
      <c r="AM787" s="20" t="s">
        <v>54</v>
      </c>
      <c r="AN787" s="21">
        <v>17284.0</v>
      </c>
      <c r="AO787" s="21">
        <v>10.0</v>
      </c>
      <c r="AP787" s="20">
        <v>107420.0</v>
      </c>
      <c r="AQ787" s="20">
        <v>951.15</v>
      </c>
    </row>
    <row r="788" ht="22.5" hidden="1" customHeight="1">
      <c r="AJ788" s="20" t="s">
        <v>65</v>
      </c>
      <c r="AK788" s="21">
        <v>3.0</v>
      </c>
      <c r="AL788" s="20" t="s">
        <v>5</v>
      </c>
      <c r="AM788" s="20" t="s">
        <v>47</v>
      </c>
      <c r="AN788" s="21">
        <v>66436.0</v>
      </c>
      <c r="AO788" s="21">
        <v>20.0</v>
      </c>
      <c r="AP788" s="20">
        <v>112885.0</v>
      </c>
      <c r="AQ788" s="20">
        <v>951.97</v>
      </c>
    </row>
    <row r="789" ht="22.5" hidden="1" customHeight="1">
      <c r="AJ789" s="20" t="s">
        <v>65</v>
      </c>
      <c r="AK789" s="21">
        <v>3.0</v>
      </c>
      <c r="AL789" s="20" t="s">
        <v>3</v>
      </c>
      <c r="AM789" s="20" t="s">
        <v>48</v>
      </c>
      <c r="AN789" s="21">
        <v>2948.0</v>
      </c>
      <c r="AO789" s="21">
        <v>20.0</v>
      </c>
      <c r="AP789" s="20">
        <v>113378.0</v>
      </c>
      <c r="AQ789" s="20">
        <v>952.23</v>
      </c>
    </row>
    <row r="790" ht="22.5" hidden="1" customHeight="1">
      <c r="AJ790" s="20" t="s">
        <v>65</v>
      </c>
      <c r="AK790" s="21">
        <v>3.0</v>
      </c>
      <c r="AL790" s="20" t="s">
        <v>5</v>
      </c>
      <c r="AM790" s="20" t="s">
        <v>56</v>
      </c>
      <c r="AN790" s="21">
        <v>33668.0</v>
      </c>
      <c r="AO790" s="21">
        <v>20.0</v>
      </c>
      <c r="AP790" s="20">
        <v>115862.0</v>
      </c>
      <c r="AQ790" s="20">
        <v>953.16</v>
      </c>
    </row>
    <row r="791" ht="22.5" hidden="1" customHeight="1">
      <c r="AJ791" s="20" t="s">
        <v>65</v>
      </c>
      <c r="AK791" s="21">
        <v>3.0</v>
      </c>
      <c r="AL791" s="20" t="s">
        <v>3</v>
      </c>
      <c r="AM791" s="20" t="s">
        <v>51</v>
      </c>
      <c r="AN791" s="21">
        <v>1156.0</v>
      </c>
      <c r="AO791" s="21">
        <v>20.0</v>
      </c>
      <c r="AP791" s="20">
        <v>107179.0</v>
      </c>
      <c r="AQ791" s="20">
        <v>953.52</v>
      </c>
    </row>
    <row r="792" ht="22.5" hidden="1" customHeight="1">
      <c r="AJ792" s="20" t="s">
        <v>65</v>
      </c>
      <c r="AK792" s="21">
        <v>3.0</v>
      </c>
      <c r="AL792" s="20" t="s">
        <v>5</v>
      </c>
      <c r="AM792" s="20" t="s">
        <v>56</v>
      </c>
      <c r="AN792" s="21">
        <v>66436.0</v>
      </c>
      <c r="AO792" s="21">
        <v>20.0</v>
      </c>
      <c r="AP792" s="20">
        <v>115862.0</v>
      </c>
      <c r="AQ792" s="20">
        <v>953.54</v>
      </c>
    </row>
    <row r="793" ht="22.5" hidden="1" customHeight="1">
      <c r="AJ793" s="20" t="s">
        <v>65</v>
      </c>
      <c r="AK793" s="21">
        <v>3.0</v>
      </c>
      <c r="AL793" s="20" t="s">
        <v>4</v>
      </c>
      <c r="AM793" s="20" t="s">
        <v>54</v>
      </c>
      <c r="AN793" s="21">
        <v>2948.0</v>
      </c>
      <c r="AO793" s="21">
        <v>10.0</v>
      </c>
      <c r="AP793" s="20">
        <v>107420.0</v>
      </c>
      <c r="AQ793" s="20">
        <v>954.08</v>
      </c>
    </row>
    <row r="794" ht="22.5" hidden="1" customHeight="1">
      <c r="AJ794" s="20" t="s">
        <v>65</v>
      </c>
      <c r="AK794" s="21">
        <v>3.0</v>
      </c>
      <c r="AL794" s="20" t="s">
        <v>5</v>
      </c>
      <c r="AM794" s="20" t="s">
        <v>56</v>
      </c>
      <c r="AN794" s="21">
        <v>9092.0</v>
      </c>
      <c r="AO794" s="21">
        <v>20.0</v>
      </c>
      <c r="AP794" s="20">
        <v>115862.0</v>
      </c>
      <c r="AQ794" s="20">
        <v>954.79</v>
      </c>
    </row>
    <row r="795" ht="22.5" hidden="1" customHeight="1">
      <c r="AJ795" s="20" t="s">
        <v>65</v>
      </c>
      <c r="AK795" s="21">
        <v>3.0</v>
      </c>
      <c r="AL795" s="20" t="s">
        <v>5</v>
      </c>
      <c r="AM795" s="20" t="s">
        <v>46</v>
      </c>
      <c r="AN795" s="21">
        <v>33668.0</v>
      </c>
      <c r="AO795" s="21">
        <v>20.0</v>
      </c>
      <c r="AP795" s="20">
        <v>107607.0</v>
      </c>
      <c r="AQ795" s="20">
        <v>955.04</v>
      </c>
    </row>
    <row r="796" ht="22.5" hidden="1" customHeight="1">
      <c r="AJ796" s="20" t="s">
        <v>65</v>
      </c>
      <c r="AK796" s="21">
        <v>3.0</v>
      </c>
      <c r="AL796" s="20" t="s">
        <v>5</v>
      </c>
      <c r="AM796" s="20" t="s">
        <v>51</v>
      </c>
      <c r="AN796" s="21">
        <v>1156.0</v>
      </c>
      <c r="AO796" s="21">
        <v>20.0</v>
      </c>
      <c r="AP796" s="20">
        <v>107179.0</v>
      </c>
      <c r="AQ796" s="20">
        <v>955.29</v>
      </c>
    </row>
    <row r="797" ht="22.5" hidden="1" customHeight="1">
      <c r="AJ797" s="20" t="s">
        <v>65</v>
      </c>
      <c r="AK797" s="21">
        <v>3.0</v>
      </c>
      <c r="AL797" s="20" t="s">
        <v>2</v>
      </c>
      <c r="AM797" s="20" t="s">
        <v>55</v>
      </c>
      <c r="AN797" s="21">
        <v>1156.0</v>
      </c>
      <c r="AO797" s="21">
        <v>10.0</v>
      </c>
      <c r="AP797" s="20">
        <v>114430.0</v>
      </c>
      <c r="AQ797" s="20">
        <v>957.17</v>
      </c>
    </row>
    <row r="798" ht="22.5" hidden="1" customHeight="1">
      <c r="AJ798" s="20" t="s">
        <v>65</v>
      </c>
      <c r="AK798" s="21">
        <v>3.0</v>
      </c>
      <c r="AL798" s="20" t="s">
        <v>4</v>
      </c>
      <c r="AM798" s="20" t="s">
        <v>54</v>
      </c>
      <c r="AN798" s="21">
        <v>4996.0</v>
      </c>
      <c r="AO798" s="21">
        <v>10.0</v>
      </c>
      <c r="AP798" s="20">
        <v>107420.0</v>
      </c>
      <c r="AQ798" s="20">
        <v>957.6</v>
      </c>
    </row>
    <row r="799" ht="22.5" hidden="1" customHeight="1">
      <c r="AJ799" s="20" t="s">
        <v>65</v>
      </c>
      <c r="AK799" s="21">
        <v>3.0</v>
      </c>
      <c r="AL799" s="20" t="s">
        <v>4</v>
      </c>
      <c r="AM799" s="20" t="s">
        <v>47</v>
      </c>
      <c r="AN799" s="21">
        <v>17284.0</v>
      </c>
      <c r="AO799" s="21">
        <v>10.0</v>
      </c>
      <c r="AP799" s="20">
        <v>112885.0</v>
      </c>
      <c r="AQ799" s="20">
        <v>958.09</v>
      </c>
    </row>
    <row r="800" ht="22.5" hidden="1" customHeight="1">
      <c r="AJ800" s="20" t="s">
        <v>65</v>
      </c>
      <c r="AK800" s="21">
        <v>3.0</v>
      </c>
      <c r="AL800" s="20" t="s">
        <v>4</v>
      </c>
      <c r="AM800" s="20" t="s">
        <v>47</v>
      </c>
      <c r="AN800" s="21">
        <v>9092.0</v>
      </c>
      <c r="AO800" s="21">
        <v>10.0</v>
      </c>
      <c r="AP800" s="20">
        <v>112885.0</v>
      </c>
      <c r="AQ800" s="20">
        <v>958.39</v>
      </c>
    </row>
    <row r="801" ht="22.5" hidden="1" customHeight="1">
      <c r="AJ801" s="20" t="s">
        <v>65</v>
      </c>
      <c r="AK801" s="21">
        <v>3.0</v>
      </c>
      <c r="AL801" s="20" t="s">
        <v>4</v>
      </c>
      <c r="AM801" s="20" t="s">
        <v>57</v>
      </c>
      <c r="AN801" s="21">
        <v>2948.0</v>
      </c>
      <c r="AO801" s="21">
        <v>10.0</v>
      </c>
      <c r="AP801" s="20">
        <v>123736.0</v>
      </c>
      <c r="AQ801" s="20">
        <v>959.54</v>
      </c>
    </row>
    <row r="802" ht="22.5" hidden="1" customHeight="1">
      <c r="AJ802" s="20" t="s">
        <v>65</v>
      </c>
      <c r="AK802" s="21">
        <v>3.0</v>
      </c>
      <c r="AL802" s="20" t="s">
        <v>5</v>
      </c>
      <c r="AM802" s="20" t="s">
        <v>52</v>
      </c>
      <c r="AN802" s="21">
        <v>9092.0</v>
      </c>
      <c r="AO802" s="21">
        <v>20.0</v>
      </c>
      <c r="AP802" s="20">
        <v>108829.0</v>
      </c>
      <c r="AQ802" s="20">
        <v>959.91</v>
      </c>
    </row>
    <row r="803" ht="22.5" hidden="1" customHeight="1">
      <c r="AJ803" s="20" t="s">
        <v>65</v>
      </c>
      <c r="AK803" s="21">
        <v>3.0</v>
      </c>
      <c r="AL803" s="20" t="s">
        <v>5</v>
      </c>
      <c r="AM803" s="20" t="s">
        <v>48</v>
      </c>
      <c r="AN803" s="21">
        <v>4996.0</v>
      </c>
      <c r="AO803" s="21">
        <v>20.0</v>
      </c>
      <c r="AP803" s="20">
        <v>113378.0</v>
      </c>
      <c r="AQ803" s="20">
        <v>959.97</v>
      </c>
    </row>
    <row r="804" ht="22.5" hidden="1" customHeight="1">
      <c r="AJ804" s="20" t="s">
        <v>65</v>
      </c>
      <c r="AK804" s="21">
        <v>3.0</v>
      </c>
      <c r="AL804" s="20" t="s">
        <v>2</v>
      </c>
      <c r="AM804" s="20" t="s">
        <v>47</v>
      </c>
      <c r="AN804" s="21">
        <v>1924.0</v>
      </c>
      <c r="AO804" s="21">
        <v>10.0</v>
      </c>
      <c r="AP804" s="20">
        <v>112885.0</v>
      </c>
      <c r="AQ804" s="20">
        <v>960.61</v>
      </c>
    </row>
    <row r="805" ht="22.5" hidden="1" customHeight="1">
      <c r="AJ805" s="20" t="s">
        <v>65</v>
      </c>
      <c r="AK805" s="21">
        <v>3.0</v>
      </c>
      <c r="AL805" s="20" t="s">
        <v>3</v>
      </c>
      <c r="AM805" s="20" t="s">
        <v>48</v>
      </c>
      <c r="AN805" s="21">
        <v>4996.0</v>
      </c>
      <c r="AO805" s="21">
        <v>20.0</v>
      </c>
      <c r="AP805" s="20">
        <v>113378.0</v>
      </c>
      <c r="AQ805" s="20">
        <v>960.71</v>
      </c>
    </row>
    <row r="806" ht="22.5" hidden="1" customHeight="1">
      <c r="AJ806" s="20" t="s">
        <v>65</v>
      </c>
      <c r="AK806" s="21">
        <v>3.0</v>
      </c>
      <c r="AL806" s="20" t="s">
        <v>3</v>
      </c>
      <c r="AM806" s="20" t="s">
        <v>46</v>
      </c>
      <c r="AN806" s="21">
        <v>1156.0</v>
      </c>
      <c r="AO806" s="21">
        <v>20.0</v>
      </c>
      <c r="AP806" s="20">
        <v>107607.0</v>
      </c>
      <c r="AQ806" s="20">
        <v>961.2</v>
      </c>
    </row>
    <row r="807" ht="22.5" hidden="1" customHeight="1">
      <c r="AJ807" s="20" t="s">
        <v>65</v>
      </c>
      <c r="AK807" s="21">
        <v>3.0</v>
      </c>
      <c r="AL807" s="20" t="s">
        <v>4</v>
      </c>
      <c r="AM807" s="20" t="s">
        <v>54</v>
      </c>
      <c r="AN807" s="21">
        <v>33668.0</v>
      </c>
      <c r="AO807" s="21">
        <v>10.0</v>
      </c>
      <c r="AP807" s="20">
        <v>107420.0</v>
      </c>
      <c r="AQ807" s="20">
        <v>961.64</v>
      </c>
    </row>
    <row r="808" ht="22.5" hidden="1" customHeight="1">
      <c r="AJ808" s="20" t="s">
        <v>65</v>
      </c>
      <c r="AK808" s="21">
        <v>3.0</v>
      </c>
      <c r="AL808" s="20" t="s">
        <v>4</v>
      </c>
      <c r="AM808" s="20" t="s">
        <v>53</v>
      </c>
      <c r="AN808" s="21">
        <v>33668.0</v>
      </c>
      <c r="AO808" s="21">
        <v>10.0</v>
      </c>
      <c r="AP808" s="20">
        <v>96179.0</v>
      </c>
      <c r="AQ808" s="20">
        <v>961.94</v>
      </c>
    </row>
    <row r="809" ht="22.5" hidden="1" customHeight="1">
      <c r="AJ809" s="20" t="s">
        <v>65</v>
      </c>
      <c r="AK809" s="21">
        <v>3.0</v>
      </c>
      <c r="AL809" s="20" t="s">
        <v>2</v>
      </c>
      <c r="AM809" s="20" t="s">
        <v>47</v>
      </c>
      <c r="AN809" s="21">
        <v>2948.0</v>
      </c>
      <c r="AO809" s="21">
        <v>10.0</v>
      </c>
      <c r="AP809" s="20">
        <v>112885.0</v>
      </c>
      <c r="AQ809" s="20">
        <v>962.39</v>
      </c>
    </row>
    <row r="810" ht="22.5" hidden="1" customHeight="1">
      <c r="AJ810" s="20" t="s">
        <v>65</v>
      </c>
      <c r="AK810" s="21">
        <v>3.0</v>
      </c>
      <c r="AL810" s="20" t="s">
        <v>5</v>
      </c>
      <c r="AM810" s="20" t="s">
        <v>54</v>
      </c>
      <c r="AN810" s="21">
        <v>17284.0</v>
      </c>
      <c r="AO810" s="21">
        <v>20.0</v>
      </c>
      <c r="AP810" s="20">
        <v>107420.0</v>
      </c>
      <c r="AQ810" s="20">
        <v>962.58</v>
      </c>
    </row>
    <row r="811" ht="22.5" hidden="1" customHeight="1">
      <c r="AJ811" s="20" t="s">
        <v>65</v>
      </c>
      <c r="AK811" s="21">
        <v>3.0</v>
      </c>
      <c r="AL811" s="20" t="s">
        <v>5</v>
      </c>
      <c r="AM811" s="20" t="s">
        <v>48</v>
      </c>
      <c r="AN811" s="21">
        <v>33668.0</v>
      </c>
      <c r="AO811" s="21">
        <v>20.0</v>
      </c>
      <c r="AP811" s="20">
        <v>113378.0</v>
      </c>
      <c r="AQ811" s="20">
        <v>962.73</v>
      </c>
    </row>
    <row r="812" ht="22.5" hidden="1" customHeight="1">
      <c r="AJ812" s="20" t="s">
        <v>65</v>
      </c>
      <c r="AK812" s="21">
        <v>3.0</v>
      </c>
      <c r="AL812" s="20" t="s">
        <v>4</v>
      </c>
      <c r="AM812" s="20" t="s">
        <v>46</v>
      </c>
      <c r="AN812" s="21">
        <v>4996.0</v>
      </c>
      <c r="AO812" s="21">
        <v>10.0</v>
      </c>
      <c r="AP812" s="20">
        <v>107607.0</v>
      </c>
      <c r="AQ812" s="20">
        <v>962.8</v>
      </c>
    </row>
    <row r="813" ht="22.5" hidden="1" customHeight="1">
      <c r="AJ813" s="20" t="s">
        <v>65</v>
      </c>
      <c r="AK813" s="21">
        <v>3.0</v>
      </c>
      <c r="AL813" s="20" t="s">
        <v>5</v>
      </c>
      <c r="AM813" s="20" t="s">
        <v>48</v>
      </c>
      <c r="AN813" s="21">
        <v>2948.0</v>
      </c>
      <c r="AO813" s="21">
        <v>20.0</v>
      </c>
      <c r="AP813" s="20">
        <v>113378.0</v>
      </c>
      <c r="AQ813" s="20">
        <v>963.48</v>
      </c>
    </row>
    <row r="814" ht="22.5" hidden="1" customHeight="1">
      <c r="AJ814" s="20" t="s">
        <v>65</v>
      </c>
      <c r="AK814" s="21">
        <v>3.0</v>
      </c>
      <c r="AL814" s="20" t="s">
        <v>5</v>
      </c>
      <c r="AM814" s="20" t="s">
        <v>52</v>
      </c>
      <c r="AN814" s="21">
        <v>1412.0</v>
      </c>
      <c r="AO814" s="21">
        <v>20.0</v>
      </c>
      <c r="AP814" s="20">
        <v>108829.0</v>
      </c>
      <c r="AQ814" s="20">
        <v>963.79</v>
      </c>
    </row>
    <row r="815" ht="22.5" hidden="1" customHeight="1">
      <c r="AJ815" s="20" t="s">
        <v>65</v>
      </c>
      <c r="AK815" s="21">
        <v>3.0</v>
      </c>
      <c r="AL815" s="20" t="s">
        <v>5</v>
      </c>
      <c r="AM815" s="20" t="s">
        <v>55</v>
      </c>
      <c r="AN815" s="21">
        <v>2948.0</v>
      </c>
      <c r="AO815" s="21">
        <v>20.0</v>
      </c>
      <c r="AP815" s="20">
        <v>114430.0</v>
      </c>
      <c r="AQ815" s="20">
        <v>964.08</v>
      </c>
    </row>
    <row r="816" ht="22.5" hidden="1" customHeight="1">
      <c r="AJ816" s="20" t="s">
        <v>65</v>
      </c>
      <c r="AK816" s="21">
        <v>3.0</v>
      </c>
      <c r="AL816" s="20" t="s">
        <v>4</v>
      </c>
      <c r="AM816" s="20" t="s">
        <v>47</v>
      </c>
      <c r="AN816" s="21">
        <v>1156.0</v>
      </c>
      <c r="AO816" s="21">
        <v>10.0</v>
      </c>
      <c r="AP816" s="20">
        <v>112885.0</v>
      </c>
      <c r="AQ816" s="20">
        <v>964.27</v>
      </c>
    </row>
    <row r="817" ht="22.5" hidden="1" customHeight="1">
      <c r="AJ817" s="20" t="s">
        <v>65</v>
      </c>
      <c r="AK817" s="21">
        <v>3.0</v>
      </c>
      <c r="AL817" s="20" t="s">
        <v>5</v>
      </c>
      <c r="AM817" s="20" t="s">
        <v>46</v>
      </c>
      <c r="AN817" s="21">
        <v>66436.0</v>
      </c>
      <c r="AO817" s="21">
        <v>20.0</v>
      </c>
      <c r="AP817" s="20">
        <v>107607.0</v>
      </c>
      <c r="AQ817" s="20">
        <v>964.86</v>
      </c>
    </row>
    <row r="818" ht="22.5" hidden="1" customHeight="1">
      <c r="AJ818" s="20" t="s">
        <v>65</v>
      </c>
      <c r="AK818" s="21">
        <v>3.0</v>
      </c>
      <c r="AL818" s="20" t="s">
        <v>2</v>
      </c>
      <c r="AM818" s="20" t="s">
        <v>47</v>
      </c>
      <c r="AN818" s="21">
        <v>1156.0</v>
      </c>
      <c r="AO818" s="21">
        <v>10.0</v>
      </c>
      <c r="AP818" s="20">
        <v>112885.0</v>
      </c>
      <c r="AQ818" s="20">
        <v>965.36</v>
      </c>
    </row>
    <row r="819" ht="22.5" hidden="1" customHeight="1">
      <c r="AJ819" s="20" t="s">
        <v>65</v>
      </c>
      <c r="AK819" s="21">
        <v>4.0</v>
      </c>
      <c r="AL819" s="20" t="s">
        <v>5</v>
      </c>
      <c r="AM819" s="20" t="s">
        <v>49</v>
      </c>
      <c r="AN819" s="21">
        <v>33668.0</v>
      </c>
      <c r="AO819" s="21">
        <v>20.0</v>
      </c>
      <c r="AP819" s="20">
        <v>79757.0</v>
      </c>
      <c r="AQ819" s="20">
        <v>966.08</v>
      </c>
    </row>
    <row r="820" ht="22.5" hidden="1" customHeight="1">
      <c r="AJ820" s="20" t="s">
        <v>65</v>
      </c>
      <c r="AK820" s="21">
        <v>3.0</v>
      </c>
      <c r="AL820" s="20" t="s">
        <v>5</v>
      </c>
      <c r="AM820" s="20" t="s">
        <v>54</v>
      </c>
      <c r="AN820" s="21">
        <v>2948.0</v>
      </c>
      <c r="AO820" s="21">
        <v>20.0</v>
      </c>
      <c r="AP820" s="20">
        <v>107420.0</v>
      </c>
      <c r="AQ820" s="20">
        <v>966.13</v>
      </c>
    </row>
    <row r="821" ht="22.5" hidden="1" customHeight="1">
      <c r="AJ821" s="20" t="s">
        <v>65</v>
      </c>
      <c r="AK821" s="21">
        <v>3.0</v>
      </c>
      <c r="AL821" s="20" t="s">
        <v>5</v>
      </c>
      <c r="AM821" s="20" t="s">
        <v>47</v>
      </c>
      <c r="AN821" s="21">
        <v>33668.0</v>
      </c>
      <c r="AO821" s="21">
        <v>20.0</v>
      </c>
      <c r="AP821" s="20">
        <v>112885.0</v>
      </c>
      <c r="AQ821" s="20">
        <v>966.26</v>
      </c>
    </row>
    <row r="822" ht="22.5" hidden="1" customHeight="1">
      <c r="AJ822" s="20" t="s">
        <v>65</v>
      </c>
      <c r="AK822" s="21">
        <v>4.0</v>
      </c>
      <c r="AL822" s="20" t="s">
        <v>3</v>
      </c>
      <c r="AM822" s="20" t="s">
        <v>50</v>
      </c>
      <c r="AN822" s="21">
        <v>1156.0</v>
      </c>
      <c r="AO822" s="21">
        <v>20.0</v>
      </c>
      <c r="AP822" s="20">
        <v>76445.0</v>
      </c>
      <c r="AQ822" s="20">
        <v>966.54</v>
      </c>
    </row>
    <row r="823" ht="22.5" hidden="1" customHeight="1">
      <c r="AJ823" s="20" t="s">
        <v>65</v>
      </c>
      <c r="AK823" s="21">
        <v>3.0</v>
      </c>
      <c r="AL823" s="20" t="s">
        <v>5</v>
      </c>
      <c r="AM823" s="20" t="s">
        <v>53</v>
      </c>
      <c r="AN823" s="21">
        <v>33668.0</v>
      </c>
      <c r="AO823" s="21">
        <v>20.0</v>
      </c>
      <c r="AP823" s="20">
        <v>96179.0</v>
      </c>
      <c r="AQ823" s="20">
        <v>966.91</v>
      </c>
    </row>
    <row r="824" ht="22.5" hidden="1" customHeight="1">
      <c r="AJ824" s="20" t="s">
        <v>65</v>
      </c>
      <c r="AK824" s="21">
        <v>3.0</v>
      </c>
      <c r="AL824" s="20" t="s">
        <v>4</v>
      </c>
      <c r="AM824" s="20" t="s">
        <v>47</v>
      </c>
      <c r="AN824" s="21">
        <v>1924.0</v>
      </c>
      <c r="AO824" s="21">
        <v>10.0</v>
      </c>
      <c r="AP824" s="20">
        <v>112885.0</v>
      </c>
      <c r="AQ824" s="20">
        <v>969.07</v>
      </c>
    </row>
    <row r="825" ht="22.5" hidden="1" customHeight="1">
      <c r="AJ825" s="20" t="s">
        <v>65</v>
      </c>
      <c r="AK825" s="21">
        <v>3.0</v>
      </c>
      <c r="AL825" s="20" t="s">
        <v>3</v>
      </c>
      <c r="AM825" s="20" t="s">
        <v>57</v>
      </c>
      <c r="AN825" s="21">
        <v>2948.0</v>
      </c>
      <c r="AO825" s="21">
        <v>20.0</v>
      </c>
      <c r="AP825" s="20">
        <v>123736.0</v>
      </c>
      <c r="AQ825" s="20">
        <v>969.72</v>
      </c>
    </row>
    <row r="826" ht="22.5" hidden="1" customHeight="1">
      <c r="AJ826" s="20" t="s">
        <v>65</v>
      </c>
      <c r="AK826" s="21">
        <v>3.0</v>
      </c>
      <c r="AL826" s="20" t="s">
        <v>5</v>
      </c>
      <c r="AM826" s="20" t="s">
        <v>57</v>
      </c>
      <c r="AN826" s="21">
        <v>2948.0</v>
      </c>
      <c r="AO826" s="21">
        <v>20.0</v>
      </c>
      <c r="AP826" s="20">
        <v>123736.0</v>
      </c>
      <c r="AQ826" s="20">
        <v>971.45</v>
      </c>
    </row>
    <row r="827" ht="22.5" hidden="1" customHeight="1">
      <c r="AJ827" s="20" t="s">
        <v>65</v>
      </c>
      <c r="AK827" s="21">
        <v>3.0</v>
      </c>
      <c r="AL827" s="20" t="s">
        <v>3</v>
      </c>
      <c r="AM827" s="20" t="s">
        <v>52</v>
      </c>
      <c r="AN827" s="21">
        <v>1412.0</v>
      </c>
      <c r="AO827" s="21">
        <v>20.0</v>
      </c>
      <c r="AP827" s="20">
        <v>108829.0</v>
      </c>
      <c r="AQ827" s="20">
        <v>971.53</v>
      </c>
    </row>
    <row r="828" ht="22.5" hidden="1" customHeight="1">
      <c r="AJ828" s="20" t="s">
        <v>65</v>
      </c>
      <c r="AK828" s="21">
        <v>3.0</v>
      </c>
      <c r="AL828" s="20" t="s">
        <v>2</v>
      </c>
      <c r="AM828" s="20" t="s">
        <v>52</v>
      </c>
      <c r="AN828" s="21">
        <v>4996.0</v>
      </c>
      <c r="AO828" s="21">
        <v>10.0</v>
      </c>
      <c r="AP828" s="20">
        <v>108829.0</v>
      </c>
      <c r="AQ828" s="20">
        <v>972.27</v>
      </c>
    </row>
    <row r="829" ht="22.5" hidden="1" customHeight="1">
      <c r="AJ829" s="20" t="s">
        <v>65</v>
      </c>
      <c r="AK829" s="21">
        <v>3.0</v>
      </c>
      <c r="AL829" s="20" t="s">
        <v>5</v>
      </c>
      <c r="AM829" s="20" t="s">
        <v>52</v>
      </c>
      <c r="AN829" s="21">
        <v>1924.0</v>
      </c>
      <c r="AO829" s="21">
        <v>20.0</v>
      </c>
      <c r="AP829" s="20">
        <v>108829.0</v>
      </c>
      <c r="AQ829" s="20">
        <v>972.5</v>
      </c>
    </row>
    <row r="830" ht="22.5" hidden="1" customHeight="1">
      <c r="AJ830" s="20" t="s">
        <v>65</v>
      </c>
      <c r="AK830" s="21">
        <v>3.0</v>
      </c>
      <c r="AL830" s="20" t="s">
        <v>5</v>
      </c>
      <c r="AM830" s="20" t="s">
        <v>47</v>
      </c>
      <c r="AN830" s="21">
        <v>2948.0</v>
      </c>
      <c r="AO830" s="21">
        <v>20.0</v>
      </c>
      <c r="AP830" s="20">
        <v>112885.0</v>
      </c>
      <c r="AQ830" s="20">
        <v>972.79</v>
      </c>
    </row>
    <row r="831" ht="22.5" hidden="1" customHeight="1">
      <c r="AJ831" s="20" t="s">
        <v>65</v>
      </c>
      <c r="AK831" s="21">
        <v>3.0</v>
      </c>
      <c r="AL831" s="20" t="s">
        <v>3</v>
      </c>
      <c r="AM831" s="20" t="s">
        <v>47</v>
      </c>
      <c r="AN831" s="21">
        <v>1156.0</v>
      </c>
      <c r="AO831" s="21">
        <v>20.0</v>
      </c>
      <c r="AP831" s="20">
        <v>112885.0</v>
      </c>
      <c r="AQ831" s="20">
        <v>973.19</v>
      </c>
    </row>
    <row r="832" ht="22.5" hidden="1" customHeight="1">
      <c r="AJ832" s="20" t="s">
        <v>65</v>
      </c>
      <c r="AK832" s="21">
        <v>3.0</v>
      </c>
      <c r="AL832" s="20" t="s">
        <v>5</v>
      </c>
      <c r="AM832" s="20" t="s">
        <v>54</v>
      </c>
      <c r="AN832" s="21">
        <v>33668.0</v>
      </c>
      <c r="AO832" s="21">
        <v>20.0</v>
      </c>
      <c r="AP832" s="20">
        <v>107420.0</v>
      </c>
      <c r="AQ832" s="20">
        <v>974.22</v>
      </c>
    </row>
    <row r="833" ht="22.5" hidden="1" customHeight="1">
      <c r="AJ833" s="20" t="s">
        <v>65</v>
      </c>
      <c r="AK833" s="21">
        <v>3.0</v>
      </c>
      <c r="AL833" s="20" t="s">
        <v>2</v>
      </c>
      <c r="AM833" s="20" t="s">
        <v>47</v>
      </c>
      <c r="AN833" s="21">
        <v>4996.0</v>
      </c>
      <c r="AO833" s="21">
        <v>10.0</v>
      </c>
      <c r="AP833" s="20">
        <v>112885.0</v>
      </c>
      <c r="AQ833" s="20">
        <v>974.47</v>
      </c>
    </row>
    <row r="834" ht="22.5" hidden="1" customHeight="1">
      <c r="AJ834" s="20" t="s">
        <v>65</v>
      </c>
      <c r="AK834" s="21">
        <v>3.0</v>
      </c>
      <c r="AL834" s="20" t="s">
        <v>3</v>
      </c>
      <c r="AM834" s="20" t="s">
        <v>54</v>
      </c>
      <c r="AN834" s="21">
        <v>2948.0</v>
      </c>
      <c r="AO834" s="21">
        <v>20.0</v>
      </c>
      <c r="AP834" s="20">
        <v>107420.0</v>
      </c>
      <c r="AQ834" s="20">
        <v>975.23</v>
      </c>
    </row>
    <row r="835" ht="22.5" hidden="1" customHeight="1">
      <c r="AJ835" s="20" t="s">
        <v>65</v>
      </c>
      <c r="AK835" s="21">
        <v>3.0</v>
      </c>
      <c r="AL835" s="20" t="s">
        <v>4</v>
      </c>
      <c r="AM835" s="20" t="s">
        <v>52</v>
      </c>
      <c r="AN835" s="21">
        <v>17284.0</v>
      </c>
      <c r="AO835" s="21">
        <v>10.0</v>
      </c>
      <c r="AP835" s="20">
        <v>108829.0</v>
      </c>
      <c r="AQ835" s="20">
        <v>975.66</v>
      </c>
    </row>
    <row r="836" ht="22.5" hidden="1" customHeight="1">
      <c r="AJ836" s="20" t="s">
        <v>65</v>
      </c>
      <c r="AK836" s="21">
        <v>3.0</v>
      </c>
      <c r="AL836" s="20" t="s">
        <v>2</v>
      </c>
      <c r="AM836" s="20" t="s">
        <v>46</v>
      </c>
      <c r="AN836" s="21">
        <v>4996.0</v>
      </c>
      <c r="AO836" s="21">
        <v>10.0</v>
      </c>
      <c r="AP836" s="20">
        <v>107607.0</v>
      </c>
      <c r="AQ836" s="20">
        <v>975.69</v>
      </c>
    </row>
    <row r="837" ht="22.5" hidden="1" customHeight="1">
      <c r="AJ837" s="20" t="s">
        <v>65</v>
      </c>
      <c r="AK837" s="21">
        <v>4.0</v>
      </c>
      <c r="AL837" s="20" t="s">
        <v>5</v>
      </c>
      <c r="AM837" s="20" t="s">
        <v>49</v>
      </c>
      <c r="AN837" s="21">
        <v>1156.0</v>
      </c>
      <c r="AO837" s="21">
        <v>20.0</v>
      </c>
      <c r="AP837" s="20">
        <v>79757.0</v>
      </c>
      <c r="AQ837" s="20">
        <v>977.26</v>
      </c>
    </row>
    <row r="838" ht="22.5" hidden="1" customHeight="1">
      <c r="AJ838" s="20" t="s">
        <v>65</v>
      </c>
      <c r="AK838" s="21">
        <v>3.0</v>
      </c>
      <c r="AL838" s="20" t="s">
        <v>3</v>
      </c>
      <c r="AM838" s="20" t="s">
        <v>47</v>
      </c>
      <c r="AN838" s="21">
        <v>2948.0</v>
      </c>
      <c r="AO838" s="21">
        <v>20.0</v>
      </c>
      <c r="AP838" s="20">
        <v>112885.0</v>
      </c>
      <c r="AQ838" s="20">
        <v>977.31</v>
      </c>
    </row>
    <row r="839" ht="22.5" hidden="1" customHeight="1">
      <c r="AJ839" s="20" t="s">
        <v>65</v>
      </c>
      <c r="AK839" s="21">
        <v>3.0</v>
      </c>
      <c r="AL839" s="20" t="s">
        <v>3</v>
      </c>
      <c r="AM839" s="20" t="s">
        <v>54</v>
      </c>
      <c r="AN839" s="21">
        <v>4996.0</v>
      </c>
      <c r="AO839" s="21">
        <v>20.0</v>
      </c>
      <c r="AP839" s="20">
        <v>107420.0</v>
      </c>
      <c r="AQ839" s="20">
        <v>977.58</v>
      </c>
    </row>
    <row r="840" ht="22.5" hidden="1" customHeight="1">
      <c r="AJ840" s="20" t="s">
        <v>65</v>
      </c>
      <c r="AK840" s="21">
        <v>3.0</v>
      </c>
      <c r="AL840" s="20" t="s">
        <v>5</v>
      </c>
      <c r="AM840" s="20" t="s">
        <v>47</v>
      </c>
      <c r="AN840" s="21">
        <v>17284.0</v>
      </c>
      <c r="AO840" s="21">
        <v>20.0</v>
      </c>
      <c r="AP840" s="20">
        <v>112885.0</v>
      </c>
      <c r="AQ840" s="20">
        <v>978.02</v>
      </c>
    </row>
    <row r="841" ht="22.5" hidden="1" customHeight="1">
      <c r="AJ841" s="20" t="s">
        <v>65</v>
      </c>
      <c r="AK841" s="21">
        <v>3.0</v>
      </c>
      <c r="AL841" s="20" t="s">
        <v>5</v>
      </c>
      <c r="AM841" s="20" t="s">
        <v>47</v>
      </c>
      <c r="AN841" s="21">
        <v>9092.0</v>
      </c>
      <c r="AO841" s="21">
        <v>20.0</v>
      </c>
      <c r="AP841" s="20">
        <v>112885.0</v>
      </c>
      <c r="AQ841" s="20">
        <v>978.47</v>
      </c>
    </row>
    <row r="842" ht="22.5" hidden="1" customHeight="1">
      <c r="AJ842" s="20" t="s">
        <v>65</v>
      </c>
      <c r="AK842" s="21">
        <v>3.0</v>
      </c>
      <c r="AL842" s="20" t="s">
        <v>5</v>
      </c>
      <c r="AM842" s="20" t="s">
        <v>47</v>
      </c>
      <c r="AN842" s="21">
        <v>1156.0</v>
      </c>
      <c r="AO842" s="21">
        <v>20.0</v>
      </c>
      <c r="AP842" s="20">
        <v>112885.0</v>
      </c>
      <c r="AQ842" s="20">
        <v>978.48</v>
      </c>
    </row>
    <row r="843" ht="22.5" hidden="1" customHeight="1">
      <c r="AJ843" s="20" t="s">
        <v>65</v>
      </c>
      <c r="AK843" s="21">
        <v>3.0</v>
      </c>
      <c r="AL843" s="20" t="s">
        <v>5</v>
      </c>
      <c r="AM843" s="20" t="s">
        <v>46</v>
      </c>
      <c r="AN843" s="21">
        <v>4996.0</v>
      </c>
      <c r="AO843" s="21">
        <v>20.0</v>
      </c>
      <c r="AP843" s="20">
        <v>107607.0</v>
      </c>
      <c r="AQ843" s="20">
        <v>978.58</v>
      </c>
    </row>
    <row r="844" ht="22.5" hidden="1" customHeight="1">
      <c r="AJ844" s="20" t="s">
        <v>65</v>
      </c>
      <c r="AK844" s="21">
        <v>3.0</v>
      </c>
      <c r="AL844" s="20" t="s">
        <v>4</v>
      </c>
      <c r="AM844" s="20" t="s">
        <v>52</v>
      </c>
      <c r="AN844" s="21">
        <v>4996.0</v>
      </c>
      <c r="AO844" s="21">
        <v>10.0</v>
      </c>
      <c r="AP844" s="20">
        <v>108829.0</v>
      </c>
      <c r="AQ844" s="20">
        <v>978.75</v>
      </c>
    </row>
    <row r="845" ht="22.5" hidden="1" customHeight="1">
      <c r="AJ845" s="20" t="s">
        <v>65</v>
      </c>
      <c r="AK845" s="21">
        <v>3.0</v>
      </c>
      <c r="AL845" s="20" t="s">
        <v>4</v>
      </c>
      <c r="AM845" s="20" t="s">
        <v>52</v>
      </c>
      <c r="AN845" s="21">
        <v>66436.0</v>
      </c>
      <c r="AO845" s="21">
        <v>10.0</v>
      </c>
      <c r="AP845" s="20">
        <v>108829.0</v>
      </c>
      <c r="AQ845" s="20">
        <v>980.03</v>
      </c>
    </row>
    <row r="846" ht="22.5" hidden="1" customHeight="1">
      <c r="AJ846" s="20" t="s">
        <v>65</v>
      </c>
      <c r="AK846" s="21">
        <v>3.0</v>
      </c>
      <c r="AL846" s="20" t="s">
        <v>4</v>
      </c>
      <c r="AM846" s="20" t="s">
        <v>54</v>
      </c>
      <c r="AN846" s="21">
        <v>66436.0</v>
      </c>
      <c r="AO846" s="21">
        <v>10.0</v>
      </c>
      <c r="AP846" s="20">
        <v>107420.0</v>
      </c>
      <c r="AQ846" s="20">
        <v>980.23</v>
      </c>
    </row>
    <row r="847" ht="22.5" hidden="1" customHeight="1">
      <c r="AJ847" s="20" t="s">
        <v>65</v>
      </c>
      <c r="AK847" s="21">
        <v>4.0</v>
      </c>
      <c r="AL847" s="20" t="s">
        <v>5</v>
      </c>
      <c r="AM847" s="20" t="s">
        <v>49</v>
      </c>
      <c r="AN847" s="21">
        <v>17284.0</v>
      </c>
      <c r="AO847" s="21">
        <v>20.0</v>
      </c>
      <c r="AP847" s="20">
        <v>79757.0</v>
      </c>
      <c r="AQ847" s="20">
        <v>982.18</v>
      </c>
    </row>
    <row r="848" ht="22.5" hidden="1" customHeight="1">
      <c r="AJ848" s="20" t="s">
        <v>65</v>
      </c>
      <c r="AK848" s="21">
        <v>3.0</v>
      </c>
      <c r="AL848" s="20" t="s">
        <v>3</v>
      </c>
      <c r="AM848" s="20" t="s">
        <v>47</v>
      </c>
      <c r="AN848" s="21">
        <v>1924.0</v>
      </c>
      <c r="AO848" s="21">
        <v>20.0</v>
      </c>
      <c r="AP848" s="20">
        <v>112885.0</v>
      </c>
      <c r="AQ848" s="20">
        <v>982.23</v>
      </c>
    </row>
    <row r="849" ht="22.5" hidden="1" customHeight="1">
      <c r="AJ849" s="20" t="s">
        <v>65</v>
      </c>
      <c r="AK849" s="21">
        <v>3.0</v>
      </c>
      <c r="AL849" s="20" t="s">
        <v>3</v>
      </c>
      <c r="AM849" s="20" t="s">
        <v>52</v>
      </c>
      <c r="AN849" s="21">
        <v>1924.0</v>
      </c>
      <c r="AO849" s="21">
        <v>20.0</v>
      </c>
      <c r="AP849" s="20">
        <v>108829.0</v>
      </c>
      <c r="AQ849" s="20">
        <v>982.37</v>
      </c>
    </row>
    <row r="850" ht="22.5" hidden="1" customHeight="1">
      <c r="AJ850" s="20" t="s">
        <v>65</v>
      </c>
      <c r="AK850" s="21">
        <v>3.0</v>
      </c>
      <c r="AL850" s="20" t="s">
        <v>5</v>
      </c>
      <c r="AM850" s="20" t="s">
        <v>54</v>
      </c>
      <c r="AN850" s="21">
        <v>4996.0</v>
      </c>
      <c r="AO850" s="21">
        <v>20.0</v>
      </c>
      <c r="AP850" s="20">
        <v>107420.0</v>
      </c>
      <c r="AQ850" s="20">
        <v>982.43</v>
      </c>
    </row>
    <row r="851" ht="22.5" hidden="1" customHeight="1">
      <c r="AJ851" s="20" t="s">
        <v>65</v>
      </c>
      <c r="AK851" s="21">
        <v>4.0</v>
      </c>
      <c r="AL851" s="20" t="s">
        <v>5</v>
      </c>
      <c r="AM851" s="20" t="s">
        <v>51</v>
      </c>
      <c r="AN851" s="21">
        <v>17284.0</v>
      </c>
      <c r="AO851" s="21">
        <v>20.0</v>
      </c>
      <c r="AP851" s="20">
        <v>72595.0</v>
      </c>
      <c r="AQ851" s="20">
        <v>985.08</v>
      </c>
    </row>
    <row r="852" ht="22.5" hidden="1" customHeight="1">
      <c r="AJ852" s="20" t="s">
        <v>65</v>
      </c>
      <c r="AK852" s="21">
        <v>4.0</v>
      </c>
      <c r="AL852" s="20" t="s">
        <v>5</v>
      </c>
      <c r="AM852" s="20" t="s">
        <v>51</v>
      </c>
      <c r="AN852" s="21">
        <v>131972.0</v>
      </c>
      <c r="AO852" s="21">
        <v>20.0</v>
      </c>
      <c r="AP852" s="20">
        <v>72499.0</v>
      </c>
      <c r="AQ852" s="20">
        <v>985.74</v>
      </c>
    </row>
    <row r="853" ht="22.5" hidden="1" customHeight="1">
      <c r="AJ853" s="20" t="s">
        <v>65</v>
      </c>
      <c r="AK853" s="21">
        <v>3.0</v>
      </c>
      <c r="AL853" s="20" t="s">
        <v>3</v>
      </c>
      <c r="AM853" s="20" t="s">
        <v>46</v>
      </c>
      <c r="AN853" s="21">
        <v>4996.0</v>
      </c>
      <c r="AO853" s="21">
        <v>20.0</v>
      </c>
      <c r="AP853" s="20">
        <v>107607.0</v>
      </c>
      <c r="AQ853" s="20">
        <v>985.97</v>
      </c>
    </row>
    <row r="854" ht="22.5" hidden="1" customHeight="1">
      <c r="AJ854" s="20" t="s">
        <v>65</v>
      </c>
      <c r="AK854" s="21">
        <v>3.0</v>
      </c>
      <c r="AL854" s="20" t="s">
        <v>5</v>
      </c>
      <c r="AM854" s="20" t="s">
        <v>54</v>
      </c>
      <c r="AN854" s="21">
        <v>66436.0</v>
      </c>
      <c r="AO854" s="21">
        <v>20.0</v>
      </c>
      <c r="AP854" s="20">
        <v>107420.0</v>
      </c>
      <c r="AQ854" s="20">
        <v>986.56</v>
      </c>
    </row>
    <row r="855" ht="22.5" hidden="1" customHeight="1">
      <c r="AJ855" s="20" t="s">
        <v>65</v>
      </c>
      <c r="AK855" s="21">
        <v>3.0</v>
      </c>
      <c r="AL855" s="20" t="s">
        <v>4</v>
      </c>
      <c r="AM855" s="20" t="s">
        <v>54</v>
      </c>
      <c r="AN855" s="21">
        <v>9092.0</v>
      </c>
      <c r="AO855" s="21">
        <v>10.0</v>
      </c>
      <c r="AP855" s="20">
        <v>107420.0</v>
      </c>
      <c r="AQ855" s="20">
        <v>986.79</v>
      </c>
    </row>
    <row r="856" ht="22.5" hidden="1" customHeight="1">
      <c r="AJ856" s="20" t="s">
        <v>65</v>
      </c>
      <c r="AK856" s="21">
        <v>3.0</v>
      </c>
      <c r="AL856" s="20" t="s">
        <v>5</v>
      </c>
      <c r="AM856" s="20" t="s">
        <v>52</v>
      </c>
      <c r="AN856" s="21">
        <v>17284.0</v>
      </c>
      <c r="AO856" s="21">
        <v>20.0</v>
      </c>
      <c r="AP856" s="20">
        <v>108829.0</v>
      </c>
      <c r="AQ856" s="20">
        <v>987.28</v>
      </c>
    </row>
    <row r="857" ht="22.5" hidden="1" customHeight="1">
      <c r="AJ857" s="20" t="s">
        <v>65</v>
      </c>
      <c r="AK857" s="21">
        <v>3.0</v>
      </c>
      <c r="AL857" s="20" t="s">
        <v>2</v>
      </c>
      <c r="AM857" s="20" t="s">
        <v>53</v>
      </c>
      <c r="AN857" s="21">
        <v>2948.0</v>
      </c>
      <c r="AO857" s="21">
        <v>10.0</v>
      </c>
      <c r="AP857" s="20">
        <v>96179.0</v>
      </c>
      <c r="AQ857" s="20">
        <v>988.7</v>
      </c>
    </row>
    <row r="858" ht="22.5" hidden="1" customHeight="1">
      <c r="AJ858" s="20" t="s">
        <v>65</v>
      </c>
      <c r="AK858" s="21">
        <v>3.0</v>
      </c>
      <c r="AL858" s="20" t="s">
        <v>5</v>
      </c>
      <c r="AM858" s="20" t="s">
        <v>47</v>
      </c>
      <c r="AN858" s="21">
        <v>1924.0</v>
      </c>
      <c r="AO858" s="21">
        <v>20.0</v>
      </c>
      <c r="AP858" s="20">
        <v>112885.0</v>
      </c>
      <c r="AQ858" s="20">
        <v>988.84</v>
      </c>
    </row>
    <row r="859" ht="22.5" hidden="1" customHeight="1">
      <c r="AJ859" s="20" t="s">
        <v>65</v>
      </c>
      <c r="AK859" s="21">
        <v>3.0</v>
      </c>
      <c r="AL859" s="20" t="s">
        <v>3</v>
      </c>
      <c r="AM859" s="20" t="s">
        <v>47</v>
      </c>
      <c r="AN859" s="21">
        <v>4996.0</v>
      </c>
      <c r="AO859" s="21">
        <v>20.0</v>
      </c>
      <c r="AP859" s="20">
        <v>112885.0</v>
      </c>
      <c r="AQ859" s="20">
        <v>989.78</v>
      </c>
    </row>
    <row r="860" ht="22.5" hidden="1" customHeight="1">
      <c r="AJ860" s="20" t="s">
        <v>65</v>
      </c>
      <c r="AK860" s="21">
        <v>3.0</v>
      </c>
      <c r="AL860" s="20" t="s">
        <v>4</v>
      </c>
      <c r="AM860" s="20" t="s">
        <v>46</v>
      </c>
      <c r="AN860" s="21">
        <v>9092.0</v>
      </c>
      <c r="AO860" s="21">
        <v>10.0</v>
      </c>
      <c r="AP860" s="20">
        <v>107607.0</v>
      </c>
      <c r="AQ860" s="20">
        <v>989.88</v>
      </c>
    </row>
    <row r="861" ht="22.5" hidden="1" customHeight="1">
      <c r="AJ861" s="20" t="s">
        <v>65</v>
      </c>
      <c r="AK861" s="21">
        <v>4.0</v>
      </c>
      <c r="AL861" s="20" t="s">
        <v>3</v>
      </c>
      <c r="AM861" s="20" t="s">
        <v>49</v>
      </c>
      <c r="AN861" s="21">
        <v>1156.0</v>
      </c>
      <c r="AO861" s="21">
        <v>20.0</v>
      </c>
      <c r="AP861" s="20">
        <v>79757.0</v>
      </c>
      <c r="AQ861" s="20">
        <v>990.1</v>
      </c>
    </row>
    <row r="862" ht="22.5" hidden="1" customHeight="1">
      <c r="AJ862" s="20" t="s">
        <v>65</v>
      </c>
      <c r="AK862" s="21">
        <v>3.0</v>
      </c>
      <c r="AL862" s="20" t="s">
        <v>4</v>
      </c>
      <c r="AM862" s="20" t="s">
        <v>53</v>
      </c>
      <c r="AN862" s="21">
        <v>17284.0</v>
      </c>
      <c r="AO862" s="21">
        <v>10.0</v>
      </c>
      <c r="AP862" s="20">
        <v>96179.0</v>
      </c>
      <c r="AQ862" s="20">
        <v>994.57</v>
      </c>
    </row>
    <row r="863" ht="22.5" hidden="1" customHeight="1">
      <c r="AJ863" s="20" t="s">
        <v>65</v>
      </c>
      <c r="AK863" s="21">
        <v>3.0</v>
      </c>
      <c r="AL863" s="20" t="s">
        <v>5</v>
      </c>
      <c r="AM863" s="20" t="s">
        <v>47</v>
      </c>
      <c r="AN863" s="21">
        <v>4996.0</v>
      </c>
      <c r="AO863" s="21">
        <v>20.0</v>
      </c>
      <c r="AP863" s="20">
        <v>112885.0</v>
      </c>
      <c r="AQ863" s="20">
        <v>996.17</v>
      </c>
    </row>
    <row r="864" ht="22.5" hidden="1" customHeight="1">
      <c r="AJ864" s="20" t="s">
        <v>65</v>
      </c>
      <c r="AK864" s="21">
        <v>3.0</v>
      </c>
      <c r="AL864" s="20" t="s">
        <v>4</v>
      </c>
      <c r="AM864" s="20" t="s">
        <v>53</v>
      </c>
      <c r="AN864" s="21">
        <v>2948.0</v>
      </c>
      <c r="AO864" s="21">
        <v>10.0</v>
      </c>
      <c r="AP864" s="20">
        <v>96179.0</v>
      </c>
      <c r="AQ864" s="20">
        <v>997.05</v>
      </c>
    </row>
    <row r="865" ht="22.5" hidden="1" customHeight="1">
      <c r="AJ865" s="20" t="s">
        <v>65</v>
      </c>
      <c r="AK865" s="21">
        <v>3.0</v>
      </c>
      <c r="AL865" s="20" t="s">
        <v>5</v>
      </c>
      <c r="AM865" s="20" t="s">
        <v>54</v>
      </c>
      <c r="AN865" s="21">
        <v>1924.0</v>
      </c>
      <c r="AO865" s="21">
        <v>20.0</v>
      </c>
      <c r="AP865" s="20">
        <v>107420.0</v>
      </c>
      <c r="AQ865" s="20">
        <v>998.51</v>
      </c>
    </row>
    <row r="866" ht="22.5" hidden="1" customHeight="1">
      <c r="AJ866" s="20" t="s">
        <v>65</v>
      </c>
      <c r="AK866" s="21">
        <v>4.0</v>
      </c>
      <c r="AL866" s="20" t="s">
        <v>5</v>
      </c>
      <c r="AM866" s="20" t="s">
        <v>50</v>
      </c>
      <c r="AN866" s="21">
        <v>2948.0</v>
      </c>
      <c r="AO866" s="21">
        <v>20.0</v>
      </c>
      <c r="AP866" s="20">
        <v>76425.0</v>
      </c>
      <c r="AQ866" s="20">
        <v>998.89</v>
      </c>
    </row>
    <row r="867" ht="22.5" hidden="1" customHeight="1">
      <c r="AJ867" s="20" t="s">
        <v>65</v>
      </c>
      <c r="AK867" s="21">
        <v>3.0</v>
      </c>
      <c r="AL867" s="20" t="s">
        <v>4</v>
      </c>
      <c r="AM867" s="20" t="s">
        <v>53</v>
      </c>
      <c r="AN867" s="21">
        <v>1924.0</v>
      </c>
      <c r="AO867" s="21">
        <v>10.0</v>
      </c>
      <c r="AP867" s="20">
        <v>96179.0</v>
      </c>
      <c r="AQ867" s="20">
        <v>999.4</v>
      </c>
    </row>
    <row r="868" ht="22.5" hidden="1" customHeight="1">
      <c r="AJ868" s="20" t="s">
        <v>65</v>
      </c>
      <c r="AK868" s="21">
        <v>3.0</v>
      </c>
      <c r="AL868" s="20" t="s">
        <v>2</v>
      </c>
      <c r="AM868" s="20" t="s">
        <v>53</v>
      </c>
      <c r="AN868" s="21">
        <v>1156.0</v>
      </c>
      <c r="AO868" s="21">
        <v>10.0</v>
      </c>
      <c r="AP868" s="20">
        <v>96179.0</v>
      </c>
      <c r="AQ868" s="20">
        <v>1000.41</v>
      </c>
    </row>
    <row r="869" ht="22.5" hidden="1" customHeight="1">
      <c r="AJ869" s="20" t="s">
        <v>65</v>
      </c>
      <c r="AK869" s="21">
        <v>3.0</v>
      </c>
      <c r="AL869" s="20" t="s">
        <v>5</v>
      </c>
      <c r="AM869" s="20" t="s">
        <v>54</v>
      </c>
      <c r="AN869" s="21">
        <v>9092.0</v>
      </c>
      <c r="AO869" s="21">
        <v>20.0</v>
      </c>
      <c r="AP869" s="20">
        <v>107420.0</v>
      </c>
      <c r="AQ869" s="20">
        <v>1001.32</v>
      </c>
    </row>
    <row r="870" ht="22.5" hidden="1" customHeight="1">
      <c r="AJ870" s="20" t="s">
        <v>65</v>
      </c>
      <c r="AK870" s="21">
        <v>4.0</v>
      </c>
      <c r="AL870" s="20" t="s">
        <v>5</v>
      </c>
      <c r="AM870" s="20" t="s">
        <v>50</v>
      </c>
      <c r="AN870" s="21">
        <v>9092.0</v>
      </c>
      <c r="AO870" s="21">
        <v>20.0</v>
      </c>
      <c r="AP870" s="20">
        <v>76425.0</v>
      </c>
      <c r="AQ870" s="20">
        <v>1001.63</v>
      </c>
    </row>
    <row r="871" ht="22.5" hidden="1" customHeight="1">
      <c r="AJ871" s="20" t="s">
        <v>65</v>
      </c>
      <c r="AK871" s="21">
        <v>4.0</v>
      </c>
      <c r="AL871" s="20" t="s">
        <v>5</v>
      </c>
      <c r="AM871" s="20" t="s">
        <v>51</v>
      </c>
      <c r="AN871" s="21">
        <v>9092.0</v>
      </c>
      <c r="AO871" s="21">
        <v>20.0</v>
      </c>
      <c r="AP871" s="20">
        <v>72499.0</v>
      </c>
      <c r="AQ871" s="20">
        <v>1002.47</v>
      </c>
    </row>
    <row r="872" ht="22.5" hidden="1" customHeight="1">
      <c r="AJ872" s="20" t="s">
        <v>65</v>
      </c>
      <c r="AK872" s="21">
        <v>4.0</v>
      </c>
      <c r="AL872" s="20" t="s">
        <v>2</v>
      </c>
      <c r="AM872" s="20" t="s">
        <v>50</v>
      </c>
      <c r="AN872" s="21">
        <v>1924.0</v>
      </c>
      <c r="AO872" s="21">
        <v>10.0</v>
      </c>
      <c r="AP872" s="20">
        <v>76425.0</v>
      </c>
      <c r="AQ872" s="20">
        <v>1003.33</v>
      </c>
    </row>
    <row r="873" ht="22.5" hidden="1" customHeight="1">
      <c r="AJ873" s="20" t="s">
        <v>65</v>
      </c>
      <c r="AK873" s="21">
        <v>3.0</v>
      </c>
      <c r="AL873" s="20" t="s">
        <v>2</v>
      </c>
      <c r="AM873" s="20" t="s">
        <v>53</v>
      </c>
      <c r="AN873" s="21">
        <v>1412.0</v>
      </c>
      <c r="AO873" s="21">
        <v>10.0</v>
      </c>
      <c r="AP873" s="20">
        <v>96179.0</v>
      </c>
      <c r="AQ873" s="20">
        <v>1004.27</v>
      </c>
    </row>
    <row r="874" ht="22.5" hidden="1" customHeight="1">
      <c r="AJ874" s="20" t="s">
        <v>65</v>
      </c>
      <c r="AK874" s="21">
        <v>3.0</v>
      </c>
      <c r="AL874" s="20" t="s">
        <v>2</v>
      </c>
      <c r="AM874" s="20" t="s">
        <v>48</v>
      </c>
      <c r="AN874" s="21">
        <v>1924.0</v>
      </c>
      <c r="AO874" s="21">
        <v>10.0</v>
      </c>
      <c r="AP874" s="20">
        <v>113378.0</v>
      </c>
      <c r="AQ874" s="20">
        <v>1004.84</v>
      </c>
    </row>
    <row r="875" ht="22.5" hidden="1" customHeight="1">
      <c r="AJ875" s="20" t="s">
        <v>65</v>
      </c>
      <c r="AK875" s="21">
        <v>3.0</v>
      </c>
      <c r="AL875" s="20" t="s">
        <v>4</v>
      </c>
      <c r="AM875" s="20" t="s">
        <v>54</v>
      </c>
      <c r="AN875" s="21">
        <v>1412.0</v>
      </c>
      <c r="AO875" s="21">
        <v>10.0</v>
      </c>
      <c r="AP875" s="20">
        <v>107420.0</v>
      </c>
      <c r="AQ875" s="20">
        <v>1005.09</v>
      </c>
    </row>
    <row r="876" ht="22.5" hidden="1" customHeight="1">
      <c r="AJ876" s="20" t="s">
        <v>65</v>
      </c>
      <c r="AK876" s="21">
        <v>3.0</v>
      </c>
      <c r="AL876" s="20" t="s">
        <v>4</v>
      </c>
      <c r="AM876" s="20" t="s">
        <v>53</v>
      </c>
      <c r="AN876" s="21">
        <v>1412.0</v>
      </c>
      <c r="AO876" s="21">
        <v>10.0</v>
      </c>
      <c r="AP876" s="20">
        <v>96179.0</v>
      </c>
      <c r="AQ876" s="20">
        <v>1005.12</v>
      </c>
    </row>
    <row r="877" ht="22.5" hidden="1" customHeight="1">
      <c r="AJ877" s="20" t="s">
        <v>65</v>
      </c>
      <c r="AK877" s="21">
        <v>4.0</v>
      </c>
      <c r="AL877" s="20" t="s">
        <v>5</v>
      </c>
      <c r="AM877" s="20" t="s">
        <v>50</v>
      </c>
      <c r="AN877" s="21">
        <v>1924.0</v>
      </c>
      <c r="AO877" s="21">
        <v>20.0</v>
      </c>
      <c r="AP877" s="20">
        <v>76425.0</v>
      </c>
      <c r="AQ877" s="20">
        <v>1006.67</v>
      </c>
    </row>
    <row r="878" ht="22.5" hidden="1" customHeight="1">
      <c r="AJ878" s="20" t="s">
        <v>65</v>
      </c>
      <c r="AK878" s="21">
        <v>3.0</v>
      </c>
      <c r="AL878" s="20" t="s">
        <v>2</v>
      </c>
      <c r="AM878" s="20" t="s">
        <v>53</v>
      </c>
      <c r="AN878" s="21">
        <v>4996.0</v>
      </c>
      <c r="AO878" s="21">
        <v>10.0</v>
      </c>
      <c r="AP878" s="20">
        <v>96179.0</v>
      </c>
      <c r="AQ878" s="20">
        <v>1008.01</v>
      </c>
    </row>
    <row r="879" ht="22.5" hidden="1" customHeight="1">
      <c r="AJ879" s="20" t="s">
        <v>65</v>
      </c>
      <c r="AK879" s="21">
        <v>4.0</v>
      </c>
      <c r="AL879" s="20" t="s">
        <v>5</v>
      </c>
      <c r="AM879" s="20" t="s">
        <v>51</v>
      </c>
      <c r="AN879" s="21">
        <v>66436.0</v>
      </c>
      <c r="AO879" s="21">
        <v>20.0</v>
      </c>
      <c r="AP879" s="20">
        <v>72499.0</v>
      </c>
      <c r="AQ879" s="20">
        <v>1009.17</v>
      </c>
    </row>
    <row r="880" ht="22.5" hidden="1" customHeight="1">
      <c r="AJ880" s="20" t="s">
        <v>65</v>
      </c>
      <c r="AK880" s="21">
        <v>3.0</v>
      </c>
      <c r="AL880" s="20" t="s">
        <v>5</v>
      </c>
      <c r="AM880" s="20" t="s">
        <v>56</v>
      </c>
      <c r="AN880" s="21">
        <v>131972.0</v>
      </c>
      <c r="AO880" s="21">
        <v>20.0</v>
      </c>
      <c r="AP880" s="20">
        <v>115862.0</v>
      </c>
      <c r="AQ880" s="20">
        <v>1010.84</v>
      </c>
    </row>
    <row r="881" ht="22.5" hidden="1" customHeight="1">
      <c r="AJ881" s="20" t="s">
        <v>65</v>
      </c>
      <c r="AK881" s="21">
        <v>4.0</v>
      </c>
      <c r="AL881" s="20" t="s">
        <v>3</v>
      </c>
      <c r="AM881" s="20" t="s">
        <v>49</v>
      </c>
      <c r="AN881" s="21">
        <v>1924.0</v>
      </c>
      <c r="AO881" s="21">
        <v>20.0</v>
      </c>
      <c r="AP881" s="20">
        <v>79757.0</v>
      </c>
      <c r="AQ881" s="20">
        <v>1011.15</v>
      </c>
    </row>
    <row r="882" ht="22.5" hidden="1" customHeight="1">
      <c r="AJ882" s="20" t="s">
        <v>65</v>
      </c>
      <c r="AK882" s="21">
        <v>3.0</v>
      </c>
      <c r="AL882" s="20" t="s">
        <v>4</v>
      </c>
      <c r="AM882" s="20" t="s">
        <v>53</v>
      </c>
      <c r="AN882" s="21">
        <v>66436.0</v>
      </c>
      <c r="AO882" s="21">
        <v>10.0</v>
      </c>
      <c r="AP882" s="20">
        <v>96197.0</v>
      </c>
      <c r="AQ882" s="20">
        <v>1011.36</v>
      </c>
    </row>
    <row r="883" ht="22.5" hidden="1" customHeight="1">
      <c r="AJ883" s="20" t="s">
        <v>65</v>
      </c>
      <c r="AK883" s="21">
        <v>4.0</v>
      </c>
      <c r="AL883" s="20" t="s">
        <v>5</v>
      </c>
      <c r="AM883" s="20" t="s">
        <v>50</v>
      </c>
      <c r="AN883" s="21">
        <v>131972.0</v>
      </c>
      <c r="AO883" s="21">
        <v>20.0</v>
      </c>
      <c r="AP883" s="20">
        <v>76425.0</v>
      </c>
      <c r="AQ883" s="20">
        <v>1011.44</v>
      </c>
    </row>
    <row r="884" ht="22.5" hidden="1" customHeight="1">
      <c r="AJ884" s="20" t="s">
        <v>65</v>
      </c>
      <c r="AK884" s="21">
        <v>4.0</v>
      </c>
      <c r="AL884" s="20" t="s">
        <v>2</v>
      </c>
      <c r="AM884" s="20" t="s">
        <v>50</v>
      </c>
      <c r="AN884" s="21">
        <v>2948.0</v>
      </c>
      <c r="AO884" s="21">
        <v>10.0</v>
      </c>
      <c r="AP884" s="20">
        <v>76425.0</v>
      </c>
      <c r="AQ884" s="20">
        <v>1011.68</v>
      </c>
    </row>
    <row r="885" ht="22.5" hidden="1" customHeight="1">
      <c r="AJ885" s="20" t="s">
        <v>65</v>
      </c>
      <c r="AK885" s="21">
        <v>3.0</v>
      </c>
      <c r="AL885" s="20" t="s">
        <v>2</v>
      </c>
      <c r="AM885" s="20" t="s">
        <v>53</v>
      </c>
      <c r="AN885" s="21">
        <v>1924.0</v>
      </c>
      <c r="AO885" s="21">
        <v>10.0</v>
      </c>
      <c r="AP885" s="20">
        <v>96179.0</v>
      </c>
      <c r="AQ885" s="20">
        <v>1011.95</v>
      </c>
    </row>
    <row r="886" ht="22.5" hidden="1" customHeight="1">
      <c r="AJ886" s="20" t="s">
        <v>65</v>
      </c>
      <c r="AK886" s="21">
        <v>4.0</v>
      </c>
      <c r="AL886" s="20" t="s">
        <v>3</v>
      </c>
      <c r="AM886" s="20" t="s">
        <v>50</v>
      </c>
      <c r="AN886" s="21">
        <v>1924.0</v>
      </c>
      <c r="AO886" s="21">
        <v>20.0</v>
      </c>
      <c r="AP886" s="20">
        <v>76425.0</v>
      </c>
      <c r="AQ886" s="20">
        <v>1011.99</v>
      </c>
    </row>
    <row r="887" ht="22.5" hidden="1" customHeight="1">
      <c r="AJ887" s="20" t="s">
        <v>65</v>
      </c>
      <c r="AK887" s="21">
        <v>3.0</v>
      </c>
      <c r="AL887" s="20" t="s">
        <v>4</v>
      </c>
      <c r="AM887" s="20" t="s">
        <v>54</v>
      </c>
      <c r="AN887" s="21">
        <v>1924.0</v>
      </c>
      <c r="AO887" s="21">
        <v>10.0</v>
      </c>
      <c r="AP887" s="20">
        <v>107420.0</v>
      </c>
      <c r="AQ887" s="20">
        <v>1012.11</v>
      </c>
    </row>
    <row r="888" ht="22.5" hidden="1" customHeight="1">
      <c r="AJ888" s="20" t="s">
        <v>65</v>
      </c>
      <c r="AK888" s="21">
        <v>4.0</v>
      </c>
      <c r="AL888" s="20" t="s">
        <v>2</v>
      </c>
      <c r="AM888" s="20" t="s">
        <v>49</v>
      </c>
      <c r="AN888" s="21">
        <v>1924.0</v>
      </c>
      <c r="AO888" s="21">
        <v>10.0</v>
      </c>
      <c r="AP888" s="20">
        <v>79757.0</v>
      </c>
      <c r="AQ888" s="20">
        <v>1012.61</v>
      </c>
    </row>
    <row r="889" ht="22.5" hidden="1" customHeight="1">
      <c r="AJ889" s="20" t="s">
        <v>65</v>
      </c>
      <c r="AK889" s="21">
        <v>4.0</v>
      </c>
      <c r="AL889" s="20" t="s">
        <v>5</v>
      </c>
      <c r="AM889" s="20" t="s">
        <v>49</v>
      </c>
      <c r="AN889" s="21">
        <v>1924.0</v>
      </c>
      <c r="AO889" s="21">
        <v>20.0</v>
      </c>
      <c r="AP889" s="20">
        <v>79757.0</v>
      </c>
      <c r="AQ889" s="20">
        <v>1012.62</v>
      </c>
    </row>
    <row r="890" ht="22.5" hidden="1" customHeight="1">
      <c r="AJ890" s="20" t="s">
        <v>65</v>
      </c>
      <c r="AK890" s="21">
        <v>3.0</v>
      </c>
      <c r="AL890" s="20" t="s">
        <v>5</v>
      </c>
      <c r="AM890" s="20" t="s">
        <v>53</v>
      </c>
      <c r="AN890" s="21">
        <v>2948.0</v>
      </c>
      <c r="AO890" s="21">
        <v>20.0</v>
      </c>
      <c r="AP890" s="20">
        <v>96179.0</v>
      </c>
      <c r="AQ890" s="20">
        <v>1012.85</v>
      </c>
    </row>
    <row r="891" ht="22.5" hidden="1" customHeight="1">
      <c r="AJ891" s="20" t="s">
        <v>65</v>
      </c>
      <c r="AK891" s="21">
        <v>4.0</v>
      </c>
      <c r="AL891" s="20" t="s">
        <v>5</v>
      </c>
      <c r="AM891" s="20" t="s">
        <v>50</v>
      </c>
      <c r="AN891" s="21">
        <v>17284.0</v>
      </c>
      <c r="AO891" s="21">
        <v>20.0</v>
      </c>
      <c r="AP891" s="20">
        <v>76695.0</v>
      </c>
      <c r="AQ891" s="20">
        <v>1012.9</v>
      </c>
    </row>
    <row r="892" ht="22.5" hidden="1" customHeight="1">
      <c r="AJ892" s="20" t="s">
        <v>65</v>
      </c>
      <c r="AK892" s="21">
        <v>3.0</v>
      </c>
      <c r="AL892" s="20" t="s">
        <v>4</v>
      </c>
      <c r="AM892" s="20" t="s">
        <v>53</v>
      </c>
      <c r="AN892" s="21">
        <v>4996.0</v>
      </c>
      <c r="AO892" s="21">
        <v>10.0</v>
      </c>
      <c r="AP892" s="20">
        <v>96179.0</v>
      </c>
      <c r="AQ892" s="20">
        <v>1013.1</v>
      </c>
    </row>
    <row r="893" ht="22.5" hidden="1" customHeight="1">
      <c r="AJ893" s="20" t="s">
        <v>65</v>
      </c>
      <c r="AK893" s="21">
        <v>3.0</v>
      </c>
      <c r="AL893" s="20" t="s">
        <v>4</v>
      </c>
      <c r="AM893" s="20" t="s">
        <v>53</v>
      </c>
      <c r="AN893" s="21">
        <v>131972.0</v>
      </c>
      <c r="AO893" s="21">
        <v>10.0</v>
      </c>
      <c r="AP893" s="20">
        <v>96179.0</v>
      </c>
      <c r="AQ893" s="20">
        <v>1015.57</v>
      </c>
    </row>
    <row r="894" ht="22.5" hidden="1" customHeight="1">
      <c r="AJ894" s="20" t="s">
        <v>65</v>
      </c>
      <c r="AK894" s="21">
        <v>3.0</v>
      </c>
      <c r="AL894" s="20" t="s">
        <v>3</v>
      </c>
      <c r="AM894" s="20" t="s">
        <v>54</v>
      </c>
      <c r="AN894" s="21">
        <v>1924.0</v>
      </c>
      <c r="AO894" s="21">
        <v>20.0</v>
      </c>
      <c r="AP894" s="20">
        <v>107420.0</v>
      </c>
      <c r="AQ894" s="20">
        <v>1015.67</v>
      </c>
    </row>
    <row r="895" ht="22.5" hidden="1" customHeight="1">
      <c r="AJ895" s="20" t="s">
        <v>65</v>
      </c>
      <c r="AK895" s="21">
        <v>4.0</v>
      </c>
      <c r="AL895" s="20" t="s">
        <v>5</v>
      </c>
      <c r="AM895" s="20" t="s">
        <v>50</v>
      </c>
      <c r="AN895" s="21">
        <v>66436.0</v>
      </c>
      <c r="AO895" s="21">
        <v>20.0</v>
      </c>
      <c r="AP895" s="20">
        <v>76429.0</v>
      </c>
      <c r="AQ895" s="20">
        <v>1016.19</v>
      </c>
    </row>
    <row r="896" ht="22.5" hidden="1" customHeight="1">
      <c r="AJ896" s="20" t="s">
        <v>65</v>
      </c>
      <c r="AK896" s="21">
        <v>3.0</v>
      </c>
      <c r="AL896" s="20" t="s">
        <v>4</v>
      </c>
      <c r="AM896" s="20" t="s">
        <v>48</v>
      </c>
      <c r="AN896" s="21">
        <v>1924.0</v>
      </c>
      <c r="AO896" s="21">
        <v>10.0</v>
      </c>
      <c r="AP896" s="20">
        <v>113378.0</v>
      </c>
      <c r="AQ896" s="20">
        <v>1016.65</v>
      </c>
    </row>
    <row r="897" ht="22.5" hidden="1" customHeight="1">
      <c r="AJ897" s="20" t="s">
        <v>65</v>
      </c>
      <c r="AK897" s="21">
        <v>3.0</v>
      </c>
      <c r="AL897" s="20" t="s">
        <v>5</v>
      </c>
      <c r="AM897" s="20" t="s">
        <v>53</v>
      </c>
      <c r="AN897" s="21">
        <v>17284.0</v>
      </c>
      <c r="AO897" s="21">
        <v>20.0</v>
      </c>
      <c r="AP897" s="20">
        <v>96179.0</v>
      </c>
      <c r="AQ897" s="20">
        <v>1017.18</v>
      </c>
    </row>
    <row r="898" ht="22.5" hidden="1" customHeight="1">
      <c r="AJ898" s="20" t="s">
        <v>65</v>
      </c>
      <c r="AK898" s="21">
        <v>4.0</v>
      </c>
      <c r="AL898" s="20" t="s">
        <v>5</v>
      </c>
      <c r="AM898" s="20" t="s">
        <v>49</v>
      </c>
      <c r="AN898" s="21">
        <v>1412.0</v>
      </c>
      <c r="AO898" s="21">
        <v>20.0</v>
      </c>
      <c r="AP898" s="20">
        <v>79757.0</v>
      </c>
      <c r="AQ898" s="20">
        <v>1017.68</v>
      </c>
    </row>
    <row r="899" ht="22.5" hidden="1" customHeight="1">
      <c r="AJ899" s="20" t="s">
        <v>65</v>
      </c>
      <c r="AK899" s="21">
        <v>4.0</v>
      </c>
      <c r="AL899" s="20" t="s">
        <v>3</v>
      </c>
      <c r="AM899" s="20" t="s">
        <v>49</v>
      </c>
      <c r="AN899" s="21">
        <v>1412.0</v>
      </c>
      <c r="AO899" s="21">
        <v>20.0</v>
      </c>
      <c r="AP899" s="20">
        <v>79757.0</v>
      </c>
      <c r="AQ899" s="20">
        <v>1017.91</v>
      </c>
    </row>
    <row r="900" ht="22.5" hidden="1" customHeight="1">
      <c r="AJ900" s="20" t="s">
        <v>65</v>
      </c>
      <c r="AK900" s="21">
        <v>4.0</v>
      </c>
      <c r="AL900" s="20" t="s">
        <v>5</v>
      </c>
      <c r="AM900" s="20" t="s">
        <v>49</v>
      </c>
      <c r="AN900" s="21">
        <v>4996.0</v>
      </c>
      <c r="AO900" s="21">
        <v>20.0</v>
      </c>
      <c r="AP900" s="20">
        <v>79785.0</v>
      </c>
      <c r="AQ900" s="20">
        <v>1018.72</v>
      </c>
    </row>
    <row r="901" ht="22.5" hidden="1" customHeight="1">
      <c r="AJ901" s="20" t="s">
        <v>65</v>
      </c>
      <c r="AK901" s="21">
        <v>4.0</v>
      </c>
      <c r="AL901" s="20" t="s">
        <v>2</v>
      </c>
      <c r="AM901" s="20" t="s">
        <v>49</v>
      </c>
      <c r="AN901" s="21">
        <v>2948.0</v>
      </c>
      <c r="AO901" s="21">
        <v>10.0</v>
      </c>
      <c r="AP901" s="20">
        <v>79757.0</v>
      </c>
      <c r="AQ901" s="20">
        <v>1019.2</v>
      </c>
    </row>
    <row r="902" ht="22.5" hidden="1" customHeight="1">
      <c r="AJ902" s="20" t="s">
        <v>65</v>
      </c>
      <c r="AK902" s="21">
        <v>4.0</v>
      </c>
      <c r="AL902" s="20" t="s">
        <v>2</v>
      </c>
      <c r="AM902" s="20" t="s">
        <v>49</v>
      </c>
      <c r="AN902" s="21">
        <v>1412.0</v>
      </c>
      <c r="AO902" s="21">
        <v>10.0</v>
      </c>
      <c r="AP902" s="20">
        <v>79757.0</v>
      </c>
      <c r="AQ902" s="20">
        <v>1019.33</v>
      </c>
    </row>
    <row r="903" ht="22.5" hidden="1" customHeight="1">
      <c r="AJ903" s="20" t="s">
        <v>65</v>
      </c>
      <c r="AK903" s="21">
        <v>3.0</v>
      </c>
      <c r="AL903" s="20" t="s">
        <v>4</v>
      </c>
      <c r="AM903" s="20" t="s">
        <v>53</v>
      </c>
      <c r="AN903" s="21">
        <v>9092.0</v>
      </c>
      <c r="AO903" s="21">
        <v>10.0</v>
      </c>
      <c r="AP903" s="20">
        <v>96179.0</v>
      </c>
      <c r="AQ903" s="20">
        <v>1019.54</v>
      </c>
    </row>
    <row r="904" ht="22.5" hidden="1" customHeight="1">
      <c r="AJ904" s="20" t="s">
        <v>65</v>
      </c>
      <c r="AK904" s="21">
        <v>4.0</v>
      </c>
      <c r="AL904" s="20" t="s">
        <v>3</v>
      </c>
      <c r="AM904" s="20" t="s">
        <v>50</v>
      </c>
      <c r="AN904" s="21">
        <v>2948.0</v>
      </c>
      <c r="AO904" s="21">
        <v>20.0</v>
      </c>
      <c r="AP904" s="20">
        <v>76425.0</v>
      </c>
      <c r="AQ904" s="20">
        <v>1019.58</v>
      </c>
    </row>
    <row r="905" ht="22.5" hidden="1" customHeight="1">
      <c r="AJ905" s="20" t="s">
        <v>65</v>
      </c>
      <c r="AK905" s="21">
        <v>4.0</v>
      </c>
      <c r="AL905" s="20" t="s">
        <v>5</v>
      </c>
      <c r="AM905" s="20" t="s">
        <v>49</v>
      </c>
      <c r="AN905" s="21">
        <v>2948.0</v>
      </c>
      <c r="AO905" s="21">
        <v>20.0</v>
      </c>
      <c r="AP905" s="20">
        <v>79757.0</v>
      </c>
      <c r="AQ905" s="20">
        <v>1019.62</v>
      </c>
    </row>
    <row r="906" ht="22.5" hidden="1" customHeight="1">
      <c r="AJ906" s="20" t="s">
        <v>65</v>
      </c>
      <c r="AK906" s="21">
        <v>3.0</v>
      </c>
      <c r="AL906" s="20" t="s">
        <v>4</v>
      </c>
      <c r="AM906" s="20" t="s">
        <v>53</v>
      </c>
      <c r="AN906" s="21">
        <v>1156.0</v>
      </c>
      <c r="AO906" s="21">
        <v>10.0</v>
      </c>
      <c r="AP906" s="20">
        <v>96179.0</v>
      </c>
      <c r="AQ906" s="20">
        <v>1021.18</v>
      </c>
    </row>
    <row r="907" ht="22.5" hidden="1" customHeight="1">
      <c r="AJ907" s="20" t="s">
        <v>65</v>
      </c>
      <c r="AK907" s="21">
        <v>3.0</v>
      </c>
      <c r="AL907" s="20" t="s">
        <v>2</v>
      </c>
      <c r="AM907" s="20" t="s">
        <v>54</v>
      </c>
      <c r="AN907" s="21">
        <v>4996.0</v>
      </c>
      <c r="AO907" s="21">
        <v>10.0</v>
      </c>
      <c r="AP907" s="20">
        <v>107420.0</v>
      </c>
      <c r="AQ907" s="20">
        <v>1021.22</v>
      </c>
    </row>
    <row r="908" ht="22.5" hidden="1" customHeight="1">
      <c r="AJ908" s="20" t="s">
        <v>65</v>
      </c>
      <c r="AK908" s="21">
        <v>4.0</v>
      </c>
      <c r="AL908" s="20" t="s">
        <v>3</v>
      </c>
      <c r="AM908" s="20" t="s">
        <v>50</v>
      </c>
      <c r="AN908" s="21">
        <v>1412.0</v>
      </c>
      <c r="AO908" s="21">
        <v>20.0</v>
      </c>
      <c r="AP908" s="20">
        <v>76425.0</v>
      </c>
      <c r="AQ908" s="20">
        <v>1021.63</v>
      </c>
    </row>
    <row r="909" ht="22.5" hidden="1" customHeight="1">
      <c r="AJ909" s="20" t="s">
        <v>65</v>
      </c>
      <c r="AK909" s="21">
        <v>3.0</v>
      </c>
      <c r="AL909" s="20" t="s">
        <v>5</v>
      </c>
      <c r="AM909" s="20" t="s">
        <v>54</v>
      </c>
      <c r="AN909" s="21">
        <v>1412.0</v>
      </c>
      <c r="AO909" s="21">
        <v>20.0</v>
      </c>
      <c r="AP909" s="20">
        <v>107420.0</v>
      </c>
      <c r="AQ909" s="20">
        <v>1021.89</v>
      </c>
    </row>
    <row r="910" ht="22.5" hidden="1" customHeight="1">
      <c r="AJ910" s="20" t="s">
        <v>65</v>
      </c>
      <c r="AK910" s="21">
        <v>3.0</v>
      </c>
      <c r="AL910" s="20" t="s">
        <v>5</v>
      </c>
      <c r="AM910" s="20" t="s">
        <v>53</v>
      </c>
      <c r="AN910" s="21">
        <v>131972.0</v>
      </c>
      <c r="AO910" s="21">
        <v>20.0</v>
      </c>
      <c r="AP910" s="20">
        <v>96179.0</v>
      </c>
      <c r="AQ910" s="20">
        <v>1023.08</v>
      </c>
    </row>
    <row r="911" ht="22.5" hidden="1" customHeight="1">
      <c r="AJ911" s="20" t="s">
        <v>65</v>
      </c>
      <c r="AK911" s="21">
        <v>3.0</v>
      </c>
      <c r="AL911" s="20" t="s">
        <v>5</v>
      </c>
      <c r="AM911" s="20" t="s">
        <v>53</v>
      </c>
      <c r="AN911" s="21">
        <v>1924.0</v>
      </c>
      <c r="AO911" s="21">
        <v>20.0</v>
      </c>
      <c r="AP911" s="20">
        <v>96179.0</v>
      </c>
      <c r="AQ911" s="20">
        <v>1023.61</v>
      </c>
    </row>
    <row r="912" ht="22.5" hidden="1" customHeight="1">
      <c r="AJ912" s="20" t="s">
        <v>65</v>
      </c>
      <c r="AK912" s="21">
        <v>3.0</v>
      </c>
      <c r="AL912" s="20" t="s">
        <v>5</v>
      </c>
      <c r="AM912" s="20" t="s">
        <v>48</v>
      </c>
      <c r="AN912" s="21">
        <v>1924.0</v>
      </c>
      <c r="AO912" s="21">
        <v>20.0</v>
      </c>
      <c r="AP912" s="20">
        <v>113378.0</v>
      </c>
      <c r="AQ912" s="20">
        <v>1023.66</v>
      </c>
    </row>
    <row r="913" ht="22.5" hidden="1" customHeight="1">
      <c r="AJ913" s="20" t="s">
        <v>65</v>
      </c>
      <c r="AK913" s="21">
        <v>4.0</v>
      </c>
      <c r="AL913" s="20" t="s">
        <v>5</v>
      </c>
      <c r="AM913" s="20" t="s">
        <v>50</v>
      </c>
      <c r="AN913" s="21">
        <v>1412.0</v>
      </c>
      <c r="AO913" s="21">
        <v>20.0</v>
      </c>
      <c r="AP913" s="20">
        <v>76425.0</v>
      </c>
      <c r="AQ913" s="20">
        <v>1024.08</v>
      </c>
    </row>
    <row r="914" ht="22.5" hidden="1" customHeight="1">
      <c r="AJ914" s="20" t="s">
        <v>65</v>
      </c>
      <c r="AK914" s="21">
        <v>4.0</v>
      </c>
      <c r="AL914" s="20" t="s">
        <v>4</v>
      </c>
      <c r="AM914" s="20" t="s">
        <v>54</v>
      </c>
      <c r="AN914" s="21">
        <v>2948.0</v>
      </c>
      <c r="AO914" s="21">
        <v>10.0</v>
      </c>
      <c r="AP914" s="20">
        <v>71707.0</v>
      </c>
      <c r="AQ914" s="20">
        <v>1024.99</v>
      </c>
    </row>
    <row r="915" ht="22.5" hidden="1" customHeight="1">
      <c r="AJ915" s="20" t="s">
        <v>65</v>
      </c>
      <c r="AK915" s="21">
        <v>3.0</v>
      </c>
      <c r="AL915" s="20" t="s">
        <v>3</v>
      </c>
      <c r="AM915" s="20" t="s">
        <v>48</v>
      </c>
      <c r="AN915" s="21">
        <v>1924.0</v>
      </c>
      <c r="AO915" s="21">
        <v>20.0</v>
      </c>
      <c r="AP915" s="20">
        <v>113378.0</v>
      </c>
      <c r="AQ915" s="20">
        <v>1025.06</v>
      </c>
    </row>
    <row r="916" ht="22.5" hidden="1" customHeight="1">
      <c r="AJ916" s="20" t="s">
        <v>65</v>
      </c>
      <c r="AK916" s="21">
        <v>3.0</v>
      </c>
      <c r="AL916" s="20" t="s">
        <v>3</v>
      </c>
      <c r="AM916" s="20" t="s">
        <v>54</v>
      </c>
      <c r="AN916" s="21">
        <v>1412.0</v>
      </c>
      <c r="AO916" s="21">
        <v>20.0</v>
      </c>
      <c r="AP916" s="20">
        <v>107420.0</v>
      </c>
      <c r="AQ916" s="20">
        <v>1025.97</v>
      </c>
    </row>
    <row r="917" ht="22.5" hidden="1" customHeight="1">
      <c r="AJ917" s="20" t="s">
        <v>65</v>
      </c>
      <c r="AK917" s="21">
        <v>4.0</v>
      </c>
      <c r="AL917" s="20" t="s">
        <v>2</v>
      </c>
      <c r="AM917" s="20" t="s">
        <v>49</v>
      </c>
      <c r="AN917" s="21">
        <v>4996.0</v>
      </c>
      <c r="AO917" s="21">
        <v>10.0</v>
      </c>
      <c r="AP917" s="20">
        <v>79785.0</v>
      </c>
      <c r="AQ917" s="20">
        <v>1026.66</v>
      </c>
    </row>
    <row r="918" ht="22.5" hidden="1" customHeight="1">
      <c r="AJ918" s="20" t="s">
        <v>65</v>
      </c>
      <c r="AK918" s="21">
        <v>3.0</v>
      </c>
      <c r="AL918" s="20" t="s">
        <v>5</v>
      </c>
      <c r="AM918" s="20" t="s">
        <v>47</v>
      </c>
      <c r="AN918" s="21">
        <v>131972.0</v>
      </c>
      <c r="AO918" s="21">
        <v>20.0</v>
      </c>
      <c r="AP918" s="20">
        <v>112885.0</v>
      </c>
      <c r="AQ918" s="20">
        <v>1027.31</v>
      </c>
    </row>
    <row r="919" ht="22.5" hidden="1" customHeight="1">
      <c r="AJ919" s="20" t="s">
        <v>65</v>
      </c>
      <c r="AK919" s="21">
        <v>4.0</v>
      </c>
      <c r="AL919" s="20" t="s">
        <v>3</v>
      </c>
      <c r="AM919" s="20" t="s">
        <v>49</v>
      </c>
      <c r="AN919" s="21">
        <v>4996.0</v>
      </c>
      <c r="AO919" s="21">
        <v>20.0</v>
      </c>
      <c r="AP919" s="20">
        <v>79785.0</v>
      </c>
      <c r="AQ919" s="20">
        <v>1027.85</v>
      </c>
    </row>
    <row r="920" ht="22.5" hidden="1" customHeight="1">
      <c r="AJ920" s="20" t="s">
        <v>65</v>
      </c>
      <c r="AK920" s="21">
        <v>4.0</v>
      </c>
      <c r="AL920" s="20" t="s">
        <v>5</v>
      </c>
      <c r="AM920" s="20" t="s">
        <v>49</v>
      </c>
      <c r="AN920" s="21">
        <v>9092.0</v>
      </c>
      <c r="AO920" s="21">
        <v>20.0</v>
      </c>
      <c r="AP920" s="20">
        <v>79757.0</v>
      </c>
      <c r="AQ920" s="20">
        <v>1028.13</v>
      </c>
    </row>
    <row r="921" ht="22.5" hidden="1" customHeight="1">
      <c r="AJ921" s="20" t="s">
        <v>65</v>
      </c>
      <c r="AK921" s="21">
        <v>3.0</v>
      </c>
      <c r="AL921" s="20" t="s">
        <v>3</v>
      </c>
      <c r="AM921" s="20" t="s">
        <v>53</v>
      </c>
      <c r="AN921" s="21">
        <v>1412.0</v>
      </c>
      <c r="AO921" s="21">
        <v>20.0</v>
      </c>
      <c r="AP921" s="20">
        <v>96179.0</v>
      </c>
      <c r="AQ921" s="20">
        <v>1028.25</v>
      </c>
    </row>
    <row r="922" ht="22.5" hidden="1" customHeight="1">
      <c r="AJ922" s="20" t="s">
        <v>65</v>
      </c>
      <c r="AK922" s="21">
        <v>3.0</v>
      </c>
      <c r="AL922" s="20" t="s">
        <v>3</v>
      </c>
      <c r="AM922" s="20" t="s">
        <v>53</v>
      </c>
      <c r="AN922" s="21">
        <v>2948.0</v>
      </c>
      <c r="AO922" s="21">
        <v>20.0</v>
      </c>
      <c r="AP922" s="20">
        <v>96179.0</v>
      </c>
      <c r="AQ922" s="20">
        <v>1028.27</v>
      </c>
    </row>
    <row r="923" ht="22.5" hidden="1" customHeight="1">
      <c r="AJ923" s="20" t="s">
        <v>65</v>
      </c>
      <c r="AK923" s="21">
        <v>4.0</v>
      </c>
      <c r="AL923" s="20" t="s">
        <v>5</v>
      </c>
      <c r="AM923" s="20" t="s">
        <v>47</v>
      </c>
      <c r="AN923" s="21">
        <v>1412.0</v>
      </c>
      <c r="AO923" s="21">
        <v>20.0</v>
      </c>
      <c r="AP923" s="20">
        <v>76359.0</v>
      </c>
      <c r="AQ923" s="20">
        <v>1028.42</v>
      </c>
    </row>
    <row r="924" ht="22.5" hidden="1" customHeight="1">
      <c r="AJ924" s="20" t="s">
        <v>65</v>
      </c>
      <c r="AK924" s="21">
        <v>4.0</v>
      </c>
      <c r="AL924" s="20" t="s">
        <v>5</v>
      </c>
      <c r="AM924" s="20" t="s">
        <v>50</v>
      </c>
      <c r="AN924" s="21">
        <v>33668.0</v>
      </c>
      <c r="AO924" s="21">
        <v>20.0</v>
      </c>
      <c r="AP924" s="20">
        <v>76425.0</v>
      </c>
      <c r="AQ924" s="20">
        <v>1029.0</v>
      </c>
    </row>
    <row r="925" ht="22.5" hidden="1" customHeight="1">
      <c r="AJ925" s="20" t="s">
        <v>65</v>
      </c>
      <c r="AK925" s="21">
        <v>3.0</v>
      </c>
      <c r="AL925" s="20" t="s">
        <v>5</v>
      </c>
      <c r="AM925" s="20" t="s">
        <v>53</v>
      </c>
      <c r="AN925" s="21">
        <v>1156.0</v>
      </c>
      <c r="AO925" s="21">
        <v>20.0</v>
      </c>
      <c r="AP925" s="20">
        <v>96179.0</v>
      </c>
      <c r="AQ925" s="20">
        <v>1029.81</v>
      </c>
    </row>
    <row r="926" ht="22.5" hidden="1" customHeight="1">
      <c r="AJ926" s="20" t="s">
        <v>65</v>
      </c>
      <c r="AK926" s="21">
        <v>4.0</v>
      </c>
      <c r="AL926" s="20" t="s">
        <v>5</v>
      </c>
      <c r="AM926" s="20" t="s">
        <v>49</v>
      </c>
      <c r="AN926" s="21">
        <v>66436.0</v>
      </c>
      <c r="AO926" s="21">
        <v>20.0</v>
      </c>
      <c r="AP926" s="20">
        <v>79757.0</v>
      </c>
      <c r="AQ926" s="20">
        <v>1030.58</v>
      </c>
    </row>
    <row r="927" ht="22.5" hidden="1" customHeight="1">
      <c r="AJ927" s="20" t="s">
        <v>65</v>
      </c>
      <c r="AK927" s="21">
        <v>3.0</v>
      </c>
      <c r="AL927" s="20" t="s">
        <v>5</v>
      </c>
      <c r="AM927" s="20" t="s">
        <v>53</v>
      </c>
      <c r="AN927" s="21">
        <v>66436.0</v>
      </c>
      <c r="AO927" s="21">
        <v>20.0</v>
      </c>
      <c r="AP927" s="20">
        <v>96197.0</v>
      </c>
      <c r="AQ927" s="20">
        <v>1031.29</v>
      </c>
    </row>
    <row r="928" ht="22.5" hidden="1" customHeight="1">
      <c r="AJ928" s="20" t="s">
        <v>65</v>
      </c>
      <c r="AK928" s="21">
        <v>3.0</v>
      </c>
      <c r="AL928" s="20" t="s">
        <v>5</v>
      </c>
      <c r="AM928" s="20" t="s">
        <v>53</v>
      </c>
      <c r="AN928" s="21">
        <v>4996.0</v>
      </c>
      <c r="AO928" s="21">
        <v>20.0</v>
      </c>
      <c r="AP928" s="20">
        <v>96179.0</v>
      </c>
      <c r="AQ928" s="20">
        <v>1031.38</v>
      </c>
    </row>
    <row r="929" ht="22.5" hidden="1" customHeight="1">
      <c r="AJ929" s="20" t="s">
        <v>65</v>
      </c>
      <c r="AK929" s="21">
        <v>4.0</v>
      </c>
      <c r="AL929" s="20" t="s">
        <v>5</v>
      </c>
      <c r="AM929" s="20" t="s">
        <v>51</v>
      </c>
      <c r="AN929" s="21">
        <v>33668.0</v>
      </c>
      <c r="AO929" s="21">
        <v>20.0</v>
      </c>
      <c r="AP929" s="20">
        <v>72499.0</v>
      </c>
      <c r="AQ929" s="20">
        <v>1031.72</v>
      </c>
    </row>
    <row r="930" ht="22.5" hidden="1" customHeight="1">
      <c r="AJ930" s="20" t="s">
        <v>65</v>
      </c>
      <c r="AK930" s="21">
        <v>3.0</v>
      </c>
      <c r="AL930" s="20" t="s">
        <v>3</v>
      </c>
      <c r="AM930" s="20" t="s">
        <v>53</v>
      </c>
      <c r="AN930" s="21">
        <v>1924.0</v>
      </c>
      <c r="AO930" s="21">
        <v>20.0</v>
      </c>
      <c r="AP930" s="20">
        <v>96179.0</v>
      </c>
      <c r="AQ930" s="20">
        <v>1032.11</v>
      </c>
    </row>
    <row r="931" ht="22.5" hidden="1" customHeight="1">
      <c r="AJ931" s="20" t="s">
        <v>65</v>
      </c>
      <c r="AK931" s="21">
        <v>3.0</v>
      </c>
      <c r="AL931" s="20" t="s">
        <v>5</v>
      </c>
      <c r="AM931" s="20" t="s">
        <v>53</v>
      </c>
      <c r="AN931" s="21">
        <v>1412.0</v>
      </c>
      <c r="AO931" s="21">
        <v>20.0</v>
      </c>
      <c r="AP931" s="20">
        <v>96179.0</v>
      </c>
      <c r="AQ931" s="20">
        <v>1032.31</v>
      </c>
    </row>
    <row r="932" ht="22.5" hidden="1" customHeight="1">
      <c r="AJ932" s="20" t="s">
        <v>65</v>
      </c>
      <c r="AK932" s="21">
        <v>4.0</v>
      </c>
      <c r="AL932" s="20" t="s">
        <v>2</v>
      </c>
      <c r="AM932" s="20" t="s">
        <v>50</v>
      </c>
      <c r="AN932" s="21">
        <v>1412.0</v>
      </c>
      <c r="AO932" s="21">
        <v>10.0</v>
      </c>
      <c r="AP932" s="20">
        <v>76425.0</v>
      </c>
      <c r="AQ932" s="20">
        <v>1033.1</v>
      </c>
    </row>
    <row r="933" ht="22.5" hidden="1" customHeight="1">
      <c r="AJ933" s="20" t="s">
        <v>65</v>
      </c>
      <c r="AK933" s="21">
        <v>3.0</v>
      </c>
      <c r="AL933" s="20" t="s">
        <v>3</v>
      </c>
      <c r="AM933" s="20" t="s">
        <v>53</v>
      </c>
      <c r="AN933" s="21">
        <v>4996.0</v>
      </c>
      <c r="AO933" s="21">
        <v>20.0</v>
      </c>
      <c r="AP933" s="20">
        <v>96179.0</v>
      </c>
      <c r="AQ933" s="20">
        <v>1034.72</v>
      </c>
    </row>
    <row r="934" ht="22.5" hidden="1" customHeight="1">
      <c r="AJ934" s="20" t="s">
        <v>65</v>
      </c>
      <c r="AK934" s="21">
        <v>4.0</v>
      </c>
      <c r="AL934" s="20" t="s">
        <v>3</v>
      </c>
      <c r="AM934" s="20" t="s">
        <v>49</v>
      </c>
      <c r="AN934" s="21">
        <v>2948.0</v>
      </c>
      <c r="AO934" s="21">
        <v>20.0</v>
      </c>
      <c r="AP934" s="20">
        <v>79757.0</v>
      </c>
      <c r="AQ934" s="20">
        <v>1035.05</v>
      </c>
    </row>
    <row r="935" ht="22.5" hidden="1" customHeight="1">
      <c r="AJ935" s="20" t="s">
        <v>65</v>
      </c>
      <c r="AK935" s="21">
        <v>3.0</v>
      </c>
      <c r="AL935" s="20" t="s">
        <v>2</v>
      </c>
      <c r="AM935" s="20" t="s">
        <v>54</v>
      </c>
      <c r="AN935" s="21">
        <v>2948.0</v>
      </c>
      <c r="AO935" s="21">
        <v>10.0</v>
      </c>
      <c r="AP935" s="20">
        <v>107420.0</v>
      </c>
      <c r="AQ935" s="20">
        <v>1037.13</v>
      </c>
    </row>
    <row r="936" ht="22.5" hidden="1" customHeight="1">
      <c r="AJ936" s="20" t="s">
        <v>65</v>
      </c>
      <c r="AK936" s="21">
        <v>4.0</v>
      </c>
      <c r="AL936" s="20" t="s">
        <v>5</v>
      </c>
      <c r="AM936" s="20" t="s">
        <v>55</v>
      </c>
      <c r="AN936" s="21">
        <v>2948.0</v>
      </c>
      <c r="AO936" s="21">
        <v>20.0</v>
      </c>
      <c r="AP936" s="20">
        <v>77883.0</v>
      </c>
      <c r="AQ936" s="20">
        <v>1038.53</v>
      </c>
    </row>
    <row r="937" ht="22.5" hidden="1" customHeight="1">
      <c r="AJ937" s="20" t="s">
        <v>65</v>
      </c>
      <c r="AK937" s="21">
        <v>3.0</v>
      </c>
      <c r="AL937" s="20" t="s">
        <v>5</v>
      </c>
      <c r="AM937" s="20" t="s">
        <v>53</v>
      </c>
      <c r="AN937" s="21">
        <v>9092.0</v>
      </c>
      <c r="AO937" s="21">
        <v>20.0</v>
      </c>
      <c r="AP937" s="20">
        <v>96179.0</v>
      </c>
      <c r="AQ937" s="20">
        <v>1039.36</v>
      </c>
    </row>
    <row r="938" ht="22.5" hidden="1" customHeight="1">
      <c r="AJ938" s="20" t="s">
        <v>65</v>
      </c>
      <c r="AK938" s="21">
        <v>4.0</v>
      </c>
      <c r="AL938" s="20" t="s">
        <v>5</v>
      </c>
      <c r="AM938" s="20" t="s">
        <v>51</v>
      </c>
      <c r="AN938" s="21">
        <v>4996.0</v>
      </c>
      <c r="AO938" s="21">
        <v>20.0</v>
      </c>
      <c r="AP938" s="20">
        <v>72499.0</v>
      </c>
      <c r="AQ938" s="20">
        <v>1041.56</v>
      </c>
    </row>
    <row r="939" ht="22.5" hidden="1" customHeight="1">
      <c r="AJ939" s="20" t="s">
        <v>65</v>
      </c>
      <c r="AK939" s="21">
        <v>4.0</v>
      </c>
      <c r="AL939" s="20" t="s">
        <v>2</v>
      </c>
      <c r="AM939" s="20" t="s">
        <v>55</v>
      </c>
      <c r="AN939" s="21">
        <v>2948.0</v>
      </c>
      <c r="AO939" s="21">
        <v>10.0</v>
      </c>
      <c r="AP939" s="20">
        <v>77883.0</v>
      </c>
      <c r="AQ939" s="20">
        <v>1043.1</v>
      </c>
    </row>
    <row r="940" ht="22.5" hidden="1" customHeight="1">
      <c r="AJ940" s="20" t="s">
        <v>65</v>
      </c>
      <c r="AK940" s="21">
        <v>4.0</v>
      </c>
      <c r="AL940" s="20" t="s">
        <v>2</v>
      </c>
      <c r="AM940" s="20" t="s">
        <v>51</v>
      </c>
      <c r="AN940" s="21">
        <v>1156.0</v>
      </c>
      <c r="AO940" s="21">
        <v>10.0</v>
      </c>
      <c r="AP940" s="20">
        <v>72499.0</v>
      </c>
      <c r="AQ940" s="20">
        <v>1045.12</v>
      </c>
    </row>
    <row r="941" ht="22.5" hidden="1" customHeight="1">
      <c r="AJ941" s="20" t="s">
        <v>65</v>
      </c>
      <c r="AK941" s="21">
        <v>4.0</v>
      </c>
      <c r="AL941" s="20" t="s">
        <v>5</v>
      </c>
      <c r="AM941" s="20" t="s">
        <v>52</v>
      </c>
      <c r="AN941" s="21">
        <v>1156.0</v>
      </c>
      <c r="AO941" s="21">
        <v>20.0</v>
      </c>
      <c r="AP941" s="20">
        <v>72379.0</v>
      </c>
      <c r="AQ941" s="20">
        <v>1046.22</v>
      </c>
    </row>
    <row r="942" ht="22.5" hidden="1" customHeight="1">
      <c r="AJ942" s="20" t="s">
        <v>65</v>
      </c>
      <c r="AK942" s="21">
        <v>4.0</v>
      </c>
      <c r="AL942" s="20" t="s">
        <v>2</v>
      </c>
      <c r="AM942" s="20" t="s">
        <v>52</v>
      </c>
      <c r="AN942" s="21">
        <v>1156.0</v>
      </c>
      <c r="AO942" s="21">
        <v>10.0</v>
      </c>
      <c r="AP942" s="20">
        <v>72379.0</v>
      </c>
      <c r="AQ942" s="20">
        <v>1046.34</v>
      </c>
    </row>
    <row r="943" ht="22.5" hidden="1" customHeight="1">
      <c r="AJ943" s="20" t="s">
        <v>65</v>
      </c>
      <c r="AK943" s="21">
        <v>4.0</v>
      </c>
      <c r="AL943" s="20" t="s">
        <v>5</v>
      </c>
      <c r="AM943" s="20" t="s">
        <v>48</v>
      </c>
      <c r="AN943" s="21">
        <v>1156.0</v>
      </c>
      <c r="AO943" s="21">
        <v>20.0</v>
      </c>
      <c r="AP943" s="20">
        <v>75248.0</v>
      </c>
      <c r="AQ943" s="20">
        <v>1046.4</v>
      </c>
    </row>
    <row r="944" ht="22.5" hidden="1" customHeight="1">
      <c r="AJ944" s="20" t="s">
        <v>65</v>
      </c>
      <c r="AK944" s="21">
        <v>4.0</v>
      </c>
      <c r="AL944" s="20" t="s">
        <v>5</v>
      </c>
      <c r="AM944" s="20" t="s">
        <v>46</v>
      </c>
      <c r="AN944" s="21">
        <v>1924.0</v>
      </c>
      <c r="AO944" s="21">
        <v>20.0</v>
      </c>
      <c r="AP944" s="20">
        <v>73127.0</v>
      </c>
      <c r="AQ944" s="20">
        <v>1047.66</v>
      </c>
    </row>
    <row r="945" ht="22.5" hidden="1" customHeight="1">
      <c r="AJ945" s="20" t="s">
        <v>65</v>
      </c>
      <c r="AK945" s="21">
        <v>4.0</v>
      </c>
      <c r="AL945" s="20" t="s">
        <v>2</v>
      </c>
      <c r="AM945" s="20" t="s">
        <v>55</v>
      </c>
      <c r="AN945" s="21">
        <v>1156.0</v>
      </c>
      <c r="AO945" s="21">
        <v>10.0</v>
      </c>
      <c r="AP945" s="20">
        <v>77883.0</v>
      </c>
      <c r="AQ945" s="20">
        <v>1048.12</v>
      </c>
    </row>
    <row r="946" ht="22.5" hidden="1" customHeight="1">
      <c r="AJ946" s="20" t="s">
        <v>65</v>
      </c>
      <c r="AK946" s="21">
        <v>4.0</v>
      </c>
      <c r="AL946" s="20" t="s">
        <v>5</v>
      </c>
      <c r="AM946" s="20" t="s">
        <v>57</v>
      </c>
      <c r="AN946" s="21">
        <v>66436.0</v>
      </c>
      <c r="AO946" s="21">
        <v>20.0</v>
      </c>
      <c r="AP946" s="20">
        <v>80959.0</v>
      </c>
      <c r="AQ946" s="20">
        <v>1049.34</v>
      </c>
    </row>
    <row r="947" ht="22.5" hidden="1" customHeight="1">
      <c r="AJ947" s="20" t="s">
        <v>65</v>
      </c>
      <c r="AK947" s="21">
        <v>4.0</v>
      </c>
      <c r="AL947" s="20" t="s">
        <v>5</v>
      </c>
      <c r="AM947" s="20" t="s">
        <v>48</v>
      </c>
      <c r="AN947" s="21">
        <v>9092.0</v>
      </c>
      <c r="AO947" s="21">
        <v>20.0</v>
      </c>
      <c r="AP947" s="20">
        <v>75248.0</v>
      </c>
      <c r="AQ947" s="20">
        <v>1051.09</v>
      </c>
    </row>
    <row r="948" ht="22.5" hidden="1" customHeight="1">
      <c r="AJ948" s="20" t="s">
        <v>65</v>
      </c>
      <c r="AK948" s="21">
        <v>4.0</v>
      </c>
      <c r="AL948" s="20" t="s">
        <v>5</v>
      </c>
      <c r="AM948" s="20" t="s">
        <v>55</v>
      </c>
      <c r="AN948" s="21">
        <v>1924.0</v>
      </c>
      <c r="AO948" s="21">
        <v>20.0</v>
      </c>
      <c r="AP948" s="20">
        <v>77927.0</v>
      </c>
      <c r="AQ948" s="20">
        <v>1051.15</v>
      </c>
    </row>
    <row r="949" ht="22.5" hidden="1" customHeight="1">
      <c r="AJ949" s="20" t="s">
        <v>65</v>
      </c>
      <c r="AK949" s="21">
        <v>4.0</v>
      </c>
      <c r="AL949" s="20" t="s">
        <v>2</v>
      </c>
      <c r="AM949" s="20" t="s">
        <v>51</v>
      </c>
      <c r="AN949" s="21">
        <v>4996.0</v>
      </c>
      <c r="AO949" s="21">
        <v>10.0</v>
      </c>
      <c r="AP949" s="20">
        <v>72499.0</v>
      </c>
      <c r="AQ949" s="20">
        <v>1051.68</v>
      </c>
    </row>
    <row r="950" ht="22.5" hidden="1" customHeight="1">
      <c r="AJ950" s="20" t="s">
        <v>65</v>
      </c>
      <c r="AK950" s="21">
        <v>4.0</v>
      </c>
      <c r="AL950" s="20" t="s">
        <v>5</v>
      </c>
      <c r="AM950" s="20" t="s">
        <v>52</v>
      </c>
      <c r="AN950" s="21">
        <v>1412.0</v>
      </c>
      <c r="AO950" s="21">
        <v>20.0</v>
      </c>
      <c r="AP950" s="20">
        <v>72379.0</v>
      </c>
      <c r="AQ950" s="20">
        <v>1053.65</v>
      </c>
    </row>
    <row r="951" ht="22.5" hidden="1" customHeight="1">
      <c r="AJ951" s="20" t="s">
        <v>65</v>
      </c>
      <c r="AK951" s="21">
        <v>3.0</v>
      </c>
      <c r="AL951" s="20" t="s">
        <v>2</v>
      </c>
      <c r="AM951" s="20" t="s">
        <v>54</v>
      </c>
      <c r="AN951" s="21">
        <v>1412.0</v>
      </c>
      <c r="AO951" s="21">
        <v>10.0</v>
      </c>
      <c r="AP951" s="20">
        <v>107420.0</v>
      </c>
      <c r="AQ951" s="20">
        <v>1053.81</v>
      </c>
    </row>
    <row r="952" ht="22.5" hidden="1" customHeight="1">
      <c r="AJ952" s="20" t="s">
        <v>65</v>
      </c>
      <c r="AK952" s="21">
        <v>4.0</v>
      </c>
      <c r="AL952" s="20" t="s">
        <v>5</v>
      </c>
      <c r="AM952" s="20" t="s">
        <v>56</v>
      </c>
      <c r="AN952" s="21">
        <v>17284.0</v>
      </c>
      <c r="AO952" s="21">
        <v>20.0</v>
      </c>
      <c r="AP952" s="20">
        <v>76855.0</v>
      </c>
      <c r="AQ952" s="20">
        <v>1054.52</v>
      </c>
    </row>
    <row r="953" ht="22.5" hidden="1" customHeight="1">
      <c r="AJ953" s="20" t="s">
        <v>65</v>
      </c>
      <c r="AK953" s="21">
        <v>4.0</v>
      </c>
      <c r="AL953" s="20" t="s">
        <v>5</v>
      </c>
      <c r="AM953" s="20" t="s">
        <v>55</v>
      </c>
      <c r="AN953" s="21">
        <v>9092.0</v>
      </c>
      <c r="AO953" s="21">
        <v>20.0</v>
      </c>
      <c r="AP953" s="20">
        <v>77941.0</v>
      </c>
      <c r="AQ953" s="20">
        <v>1055.46</v>
      </c>
    </row>
    <row r="954" ht="22.5" hidden="1" customHeight="1">
      <c r="AJ954" s="20" t="s">
        <v>65</v>
      </c>
      <c r="AK954" s="21">
        <v>4.0</v>
      </c>
      <c r="AL954" s="20" t="s">
        <v>2</v>
      </c>
      <c r="AM954" s="20" t="s">
        <v>55</v>
      </c>
      <c r="AN954" s="21">
        <v>1924.0</v>
      </c>
      <c r="AO954" s="21">
        <v>10.0</v>
      </c>
      <c r="AP954" s="20">
        <v>77927.0</v>
      </c>
      <c r="AQ954" s="20">
        <v>1056.94</v>
      </c>
    </row>
    <row r="955" ht="22.5" hidden="1" customHeight="1">
      <c r="AJ955" s="20" t="s">
        <v>65</v>
      </c>
      <c r="AK955" s="21">
        <v>4.0</v>
      </c>
      <c r="AL955" s="20" t="s">
        <v>5</v>
      </c>
      <c r="AM955" s="20" t="s">
        <v>51</v>
      </c>
      <c r="AN955" s="21">
        <v>1924.0</v>
      </c>
      <c r="AO955" s="21">
        <v>20.0</v>
      </c>
      <c r="AP955" s="20">
        <v>72499.0</v>
      </c>
      <c r="AQ955" s="20">
        <v>1057.03</v>
      </c>
    </row>
    <row r="956" ht="22.5" hidden="1" customHeight="1">
      <c r="AJ956" s="20" t="s">
        <v>65</v>
      </c>
      <c r="AK956" s="21">
        <v>4.0</v>
      </c>
      <c r="AL956" s="20" t="s">
        <v>2</v>
      </c>
      <c r="AM956" s="20" t="s">
        <v>51</v>
      </c>
      <c r="AN956" s="21">
        <v>1412.0</v>
      </c>
      <c r="AO956" s="21">
        <v>10.0</v>
      </c>
      <c r="AP956" s="20">
        <v>72499.0</v>
      </c>
      <c r="AQ956" s="20">
        <v>1057.04</v>
      </c>
    </row>
    <row r="957" ht="22.5" hidden="1" customHeight="1">
      <c r="AJ957" s="20" t="s">
        <v>65</v>
      </c>
      <c r="AK957" s="21">
        <v>4.0</v>
      </c>
      <c r="AL957" s="20" t="s">
        <v>3</v>
      </c>
      <c r="AM957" s="20" t="s">
        <v>52</v>
      </c>
      <c r="AN957" s="21">
        <v>1156.0</v>
      </c>
      <c r="AO957" s="21">
        <v>20.0</v>
      </c>
      <c r="AP957" s="20">
        <v>72379.0</v>
      </c>
      <c r="AQ957" s="20">
        <v>1057.76</v>
      </c>
    </row>
    <row r="958" ht="22.5" hidden="1" customHeight="1">
      <c r="AJ958" s="20" t="s">
        <v>65</v>
      </c>
      <c r="AK958" s="21">
        <v>4.0</v>
      </c>
      <c r="AL958" s="20" t="s">
        <v>5</v>
      </c>
      <c r="AM958" s="20" t="s">
        <v>51</v>
      </c>
      <c r="AN958" s="21">
        <v>2948.0</v>
      </c>
      <c r="AO958" s="21">
        <v>20.0</v>
      </c>
      <c r="AP958" s="20">
        <v>72595.0</v>
      </c>
      <c r="AQ958" s="20">
        <v>1058.41</v>
      </c>
    </row>
    <row r="959" ht="22.5" hidden="1" customHeight="1">
      <c r="AJ959" s="20" t="s">
        <v>65</v>
      </c>
      <c r="AK959" s="21">
        <v>4.0</v>
      </c>
      <c r="AL959" s="20" t="s">
        <v>5</v>
      </c>
      <c r="AM959" s="20" t="s">
        <v>55</v>
      </c>
      <c r="AN959" s="21">
        <v>33668.0</v>
      </c>
      <c r="AO959" s="21">
        <v>20.0</v>
      </c>
      <c r="AP959" s="20">
        <v>77947.0</v>
      </c>
      <c r="AQ959" s="20">
        <v>1059.34</v>
      </c>
    </row>
    <row r="960" ht="22.5" hidden="1" customHeight="1">
      <c r="AJ960" s="20" t="s">
        <v>65</v>
      </c>
      <c r="AK960" s="21">
        <v>4.0</v>
      </c>
      <c r="AL960" s="20" t="s">
        <v>5</v>
      </c>
      <c r="AM960" s="20" t="s">
        <v>52</v>
      </c>
      <c r="AN960" s="21">
        <v>33668.0</v>
      </c>
      <c r="AO960" s="21">
        <v>20.0</v>
      </c>
      <c r="AP960" s="20">
        <v>72379.0</v>
      </c>
      <c r="AQ960" s="20">
        <v>1059.85</v>
      </c>
    </row>
    <row r="961" ht="22.5" hidden="1" customHeight="1">
      <c r="AJ961" s="20" t="s">
        <v>65</v>
      </c>
      <c r="AK961" s="21">
        <v>4.0</v>
      </c>
      <c r="AL961" s="20" t="s">
        <v>2</v>
      </c>
      <c r="AM961" s="20" t="s">
        <v>51</v>
      </c>
      <c r="AN961" s="21">
        <v>1924.0</v>
      </c>
      <c r="AO961" s="21">
        <v>10.0</v>
      </c>
      <c r="AP961" s="20">
        <v>72499.0</v>
      </c>
      <c r="AQ961" s="20">
        <v>1059.9</v>
      </c>
    </row>
    <row r="962" ht="22.5" hidden="1" customHeight="1">
      <c r="AJ962" s="20" t="s">
        <v>65</v>
      </c>
      <c r="AK962" s="21">
        <v>4.0</v>
      </c>
      <c r="AL962" s="20" t="s">
        <v>5</v>
      </c>
      <c r="AM962" s="20" t="s">
        <v>51</v>
      </c>
      <c r="AN962" s="21">
        <v>1412.0</v>
      </c>
      <c r="AO962" s="21">
        <v>20.0</v>
      </c>
      <c r="AP962" s="20">
        <v>72499.0</v>
      </c>
      <c r="AQ962" s="20">
        <v>1062.38</v>
      </c>
    </row>
    <row r="963" ht="22.5" hidden="1" customHeight="1">
      <c r="AJ963" s="20" t="s">
        <v>65</v>
      </c>
      <c r="AK963" s="21">
        <v>4.0</v>
      </c>
      <c r="AL963" s="20" t="s">
        <v>2</v>
      </c>
      <c r="AM963" s="20" t="s">
        <v>46</v>
      </c>
      <c r="AN963" s="21">
        <v>2948.0</v>
      </c>
      <c r="AO963" s="21">
        <v>10.0</v>
      </c>
      <c r="AP963" s="20">
        <v>73127.0</v>
      </c>
      <c r="AQ963" s="20">
        <v>1062.39</v>
      </c>
    </row>
    <row r="964" ht="22.5" hidden="1" customHeight="1">
      <c r="AJ964" s="20" t="s">
        <v>65</v>
      </c>
      <c r="AK964" s="21">
        <v>4.0</v>
      </c>
      <c r="AL964" s="20" t="s">
        <v>5</v>
      </c>
      <c r="AM964" s="20" t="s">
        <v>47</v>
      </c>
      <c r="AN964" s="21">
        <v>131972.0</v>
      </c>
      <c r="AO964" s="21">
        <v>20.0</v>
      </c>
      <c r="AP964" s="20">
        <v>76359.0</v>
      </c>
      <c r="AQ964" s="20">
        <v>1062.73</v>
      </c>
    </row>
    <row r="965" ht="22.5" hidden="1" customHeight="1">
      <c r="AJ965" s="20" t="s">
        <v>65</v>
      </c>
      <c r="AK965" s="21">
        <v>4.0</v>
      </c>
      <c r="AL965" s="20" t="s">
        <v>5</v>
      </c>
      <c r="AM965" s="20" t="s">
        <v>55</v>
      </c>
      <c r="AN965" s="21">
        <v>1156.0</v>
      </c>
      <c r="AO965" s="21">
        <v>20.0</v>
      </c>
      <c r="AP965" s="20">
        <v>77883.0</v>
      </c>
      <c r="AQ965" s="20">
        <v>1063.2</v>
      </c>
    </row>
    <row r="966" ht="22.5" hidden="1" customHeight="1">
      <c r="AJ966" s="20" t="s">
        <v>65</v>
      </c>
      <c r="AK966" s="21">
        <v>4.0</v>
      </c>
      <c r="AL966" s="20" t="s">
        <v>2</v>
      </c>
      <c r="AM966" s="20" t="s">
        <v>52</v>
      </c>
      <c r="AN966" s="21">
        <v>1412.0</v>
      </c>
      <c r="AO966" s="21">
        <v>10.0</v>
      </c>
      <c r="AP966" s="20">
        <v>72379.0</v>
      </c>
      <c r="AQ966" s="20">
        <v>1063.3</v>
      </c>
    </row>
    <row r="967" ht="22.5" hidden="1" customHeight="1">
      <c r="AJ967" s="20" t="s">
        <v>65</v>
      </c>
      <c r="AK967" s="21">
        <v>4.0</v>
      </c>
      <c r="AL967" s="20" t="s">
        <v>3</v>
      </c>
      <c r="AM967" s="20" t="s">
        <v>46</v>
      </c>
      <c r="AN967" s="21">
        <v>1924.0</v>
      </c>
      <c r="AO967" s="21">
        <v>20.0</v>
      </c>
      <c r="AP967" s="20">
        <v>73127.0</v>
      </c>
      <c r="AQ967" s="20">
        <v>1063.56</v>
      </c>
    </row>
    <row r="968" ht="22.5" hidden="1" customHeight="1">
      <c r="AJ968" s="20" t="s">
        <v>65</v>
      </c>
      <c r="AK968" s="21">
        <v>4.0</v>
      </c>
      <c r="AL968" s="20" t="s">
        <v>2</v>
      </c>
      <c r="AM968" s="20" t="s">
        <v>46</v>
      </c>
      <c r="AN968" s="21">
        <v>1924.0</v>
      </c>
      <c r="AO968" s="21">
        <v>10.0</v>
      </c>
      <c r="AP968" s="20">
        <v>73127.0</v>
      </c>
      <c r="AQ968" s="20">
        <v>1065.45</v>
      </c>
    </row>
    <row r="969" ht="22.5" hidden="1" customHeight="1">
      <c r="AJ969" s="20" t="s">
        <v>65</v>
      </c>
      <c r="AK969" s="21">
        <v>4.0</v>
      </c>
      <c r="AL969" s="20" t="s">
        <v>3</v>
      </c>
      <c r="AM969" s="20" t="s">
        <v>55</v>
      </c>
      <c r="AN969" s="21">
        <v>2948.0</v>
      </c>
      <c r="AO969" s="21">
        <v>20.0</v>
      </c>
      <c r="AP969" s="20">
        <v>77883.0</v>
      </c>
      <c r="AQ969" s="20">
        <v>1065.98</v>
      </c>
    </row>
    <row r="970" ht="22.5" hidden="1" customHeight="1">
      <c r="AJ970" s="20" t="s">
        <v>65</v>
      </c>
      <c r="AK970" s="21">
        <v>4.0</v>
      </c>
      <c r="AL970" s="20" t="s">
        <v>2</v>
      </c>
      <c r="AM970" s="20" t="s">
        <v>55</v>
      </c>
      <c r="AN970" s="21">
        <v>1412.0</v>
      </c>
      <c r="AO970" s="21">
        <v>10.0</v>
      </c>
      <c r="AP970" s="20">
        <v>77941.0</v>
      </c>
      <c r="AQ970" s="20">
        <v>1066.09</v>
      </c>
    </row>
    <row r="971" ht="22.5" hidden="1" customHeight="1">
      <c r="AJ971" s="20" t="s">
        <v>65</v>
      </c>
      <c r="AK971" s="21">
        <v>4.0</v>
      </c>
      <c r="AL971" s="20" t="s">
        <v>2</v>
      </c>
      <c r="AM971" s="20" t="s">
        <v>48</v>
      </c>
      <c r="AN971" s="21">
        <v>2948.0</v>
      </c>
      <c r="AO971" s="21">
        <v>10.0</v>
      </c>
      <c r="AP971" s="20">
        <v>75248.0</v>
      </c>
      <c r="AQ971" s="20">
        <v>1066.92</v>
      </c>
    </row>
    <row r="972" ht="22.5" hidden="1" customHeight="1">
      <c r="AJ972" s="20" t="s">
        <v>65</v>
      </c>
      <c r="AK972" s="21">
        <v>4.0</v>
      </c>
      <c r="AL972" s="20" t="s">
        <v>5</v>
      </c>
      <c r="AM972" s="20" t="s">
        <v>55</v>
      </c>
      <c r="AN972" s="21">
        <v>1412.0</v>
      </c>
      <c r="AO972" s="21">
        <v>20.0</v>
      </c>
      <c r="AP972" s="20">
        <v>77941.0</v>
      </c>
      <c r="AQ972" s="20">
        <v>1067.63</v>
      </c>
    </row>
    <row r="973" ht="22.5" hidden="1" customHeight="1">
      <c r="AJ973" s="20" t="s">
        <v>65</v>
      </c>
      <c r="AK973" s="21">
        <v>4.0</v>
      </c>
      <c r="AL973" s="20" t="s">
        <v>3</v>
      </c>
      <c r="AM973" s="20" t="s">
        <v>51</v>
      </c>
      <c r="AN973" s="21">
        <v>1412.0</v>
      </c>
      <c r="AO973" s="21">
        <v>20.0</v>
      </c>
      <c r="AP973" s="20">
        <v>72499.0</v>
      </c>
      <c r="AQ973" s="20">
        <v>1068.14</v>
      </c>
    </row>
    <row r="974" ht="22.5" hidden="1" customHeight="1">
      <c r="AJ974" s="20" t="s">
        <v>65</v>
      </c>
      <c r="AK974" s="21">
        <v>4.0</v>
      </c>
      <c r="AL974" s="20" t="s">
        <v>3</v>
      </c>
      <c r="AM974" s="20" t="s">
        <v>48</v>
      </c>
      <c r="AN974" s="21">
        <v>1156.0</v>
      </c>
      <c r="AO974" s="21">
        <v>20.0</v>
      </c>
      <c r="AP974" s="20">
        <v>75248.0</v>
      </c>
      <c r="AQ974" s="20">
        <v>1069.62</v>
      </c>
    </row>
    <row r="975" ht="22.5" hidden="1" customHeight="1">
      <c r="AJ975" s="20" t="s">
        <v>65</v>
      </c>
      <c r="AK975" s="21">
        <v>3.0</v>
      </c>
      <c r="AL975" s="20" t="s">
        <v>2</v>
      </c>
      <c r="AM975" s="20" t="s">
        <v>54</v>
      </c>
      <c r="AN975" s="21">
        <v>1924.0</v>
      </c>
      <c r="AO975" s="21">
        <v>10.0</v>
      </c>
      <c r="AP975" s="20">
        <v>107420.0</v>
      </c>
      <c r="AQ975" s="20">
        <v>1070.26</v>
      </c>
    </row>
    <row r="976" ht="22.5" hidden="1" customHeight="1">
      <c r="AJ976" s="20" t="s">
        <v>65</v>
      </c>
      <c r="AK976" s="21">
        <v>4.0</v>
      </c>
      <c r="AL976" s="20" t="s">
        <v>5</v>
      </c>
      <c r="AM976" s="20" t="s">
        <v>48</v>
      </c>
      <c r="AN976" s="21">
        <v>33668.0</v>
      </c>
      <c r="AO976" s="21">
        <v>20.0</v>
      </c>
      <c r="AP976" s="20">
        <v>75248.0</v>
      </c>
      <c r="AQ976" s="20">
        <v>1071.59</v>
      </c>
    </row>
    <row r="977" ht="22.5" hidden="1" customHeight="1">
      <c r="AJ977" s="20" t="s">
        <v>65</v>
      </c>
      <c r="AK977" s="21">
        <v>4.0</v>
      </c>
      <c r="AL977" s="20" t="s">
        <v>2</v>
      </c>
      <c r="AM977" s="20" t="s">
        <v>50</v>
      </c>
      <c r="AN977" s="21">
        <v>4996.0</v>
      </c>
      <c r="AO977" s="21">
        <v>10.0</v>
      </c>
      <c r="AP977" s="20">
        <v>76535.0</v>
      </c>
      <c r="AQ977" s="20">
        <v>1071.83</v>
      </c>
    </row>
    <row r="978" ht="22.5" hidden="1" customHeight="1">
      <c r="AJ978" s="20" t="s">
        <v>65</v>
      </c>
      <c r="AK978" s="21">
        <v>4.0</v>
      </c>
      <c r="AL978" s="20" t="s">
        <v>5</v>
      </c>
      <c r="AM978" s="20" t="s">
        <v>51</v>
      </c>
      <c r="AN978" s="21">
        <v>1156.0</v>
      </c>
      <c r="AO978" s="21">
        <v>20.0</v>
      </c>
      <c r="AP978" s="20">
        <v>72499.0</v>
      </c>
      <c r="AQ978" s="20">
        <v>1072.49</v>
      </c>
    </row>
    <row r="979" ht="22.5" hidden="1" customHeight="1">
      <c r="AJ979" s="20" t="s">
        <v>65</v>
      </c>
      <c r="AK979" s="21">
        <v>4.0</v>
      </c>
      <c r="AL979" s="20" t="s">
        <v>3</v>
      </c>
      <c r="AM979" s="20" t="s">
        <v>55</v>
      </c>
      <c r="AN979" s="21">
        <v>1924.0</v>
      </c>
      <c r="AO979" s="21">
        <v>20.0</v>
      </c>
      <c r="AP979" s="20">
        <v>77927.0</v>
      </c>
      <c r="AQ979" s="20">
        <v>1073.45</v>
      </c>
    </row>
    <row r="980" ht="22.5" hidden="1" customHeight="1">
      <c r="AJ980" s="20" t="s">
        <v>65</v>
      </c>
      <c r="AK980" s="21">
        <v>4.0</v>
      </c>
      <c r="AL980" s="20" t="s">
        <v>5</v>
      </c>
      <c r="AM980" s="20" t="s">
        <v>56</v>
      </c>
      <c r="AN980" s="21">
        <v>9092.0</v>
      </c>
      <c r="AO980" s="21">
        <v>20.0</v>
      </c>
      <c r="AP980" s="20">
        <v>76855.0</v>
      </c>
      <c r="AQ980" s="20">
        <v>1073.5</v>
      </c>
    </row>
    <row r="981" ht="22.5" hidden="1" customHeight="1">
      <c r="AJ981" s="20" t="s">
        <v>65</v>
      </c>
      <c r="AK981" s="21">
        <v>4.0</v>
      </c>
      <c r="AL981" s="20" t="s">
        <v>5</v>
      </c>
      <c r="AM981" s="20" t="s">
        <v>54</v>
      </c>
      <c r="AN981" s="21">
        <v>2948.0</v>
      </c>
      <c r="AO981" s="21">
        <v>20.0</v>
      </c>
      <c r="AP981" s="20">
        <v>71707.0</v>
      </c>
      <c r="AQ981" s="20">
        <v>1073.54</v>
      </c>
    </row>
    <row r="982" ht="22.5" hidden="1" customHeight="1">
      <c r="AJ982" s="20" t="s">
        <v>65</v>
      </c>
      <c r="AK982" s="21">
        <v>4.0</v>
      </c>
      <c r="AL982" s="20" t="s">
        <v>3</v>
      </c>
      <c r="AM982" s="20" t="s">
        <v>52</v>
      </c>
      <c r="AN982" s="21">
        <v>1412.0</v>
      </c>
      <c r="AO982" s="21">
        <v>20.0</v>
      </c>
      <c r="AP982" s="20">
        <v>72379.0</v>
      </c>
      <c r="AQ982" s="20">
        <v>1073.89</v>
      </c>
    </row>
    <row r="983" ht="22.5" hidden="1" customHeight="1">
      <c r="AJ983" s="20" t="s">
        <v>65</v>
      </c>
      <c r="AK983" s="21">
        <v>4.0</v>
      </c>
      <c r="AL983" s="20" t="s">
        <v>3</v>
      </c>
      <c r="AM983" s="20" t="s">
        <v>46</v>
      </c>
      <c r="AN983" s="21">
        <v>4996.0</v>
      </c>
      <c r="AO983" s="21">
        <v>20.0</v>
      </c>
      <c r="AP983" s="20">
        <v>73127.0</v>
      </c>
      <c r="AQ983" s="20">
        <v>1074.22</v>
      </c>
    </row>
    <row r="984" ht="22.5" hidden="1" customHeight="1">
      <c r="AJ984" s="20" t="s">
        <v>65</v>
      </c>
      <c r="AK984" s="21">
        <v>4.0</v>
      </c>
      <c r="AL984" s="20" t="s">
        <v>2</v>
      </c>
      <c r="AM984" s="20" t="s">
        <v>46</v>
      </c>
      <c r="AN984" s="21">
        <v>4996.0</v>
      </c>
      <c r="AO984" s="21">
        <v>10.0</v>
      </c>
      <c r="AP984" s="20">
        <v>73127.0</v>
      </c>
      <c r="AQ984" s="20">
        <v>1074.69</v>
      </c>
    </row>
    <row r="985" ht="22.5" hidden="1" customHeight="1">
      <c r="AJ985" s="20" t="s">
        <v>65</v>
      </c>
      <c r="AK985" s="21">
        <v>4.0</v>
      </c>
      <c r="AL985" s="20" t="s">
        <v>2</v>
      </c>
      <c r="AM985" s="20" t="s">
        <v>51</v>
      </c>
      <c r="AN985" s="21">
        <v>2948.0</v>
      </c>
      <c r="AO985" s="21">
        <v>10.0</v>
      </c>
      <c r="AP985" s="20">
        <v>72595.0</v>
      </c>
      <c r="AQ985" s="20">
        <v>1075.16</v>
      </c>
    </row>
    <row r="986" ht="22.5" hidden="1" customHeight="1">
      <c r="AJ986" s="20" t="s">
        <v>65</v>
      </c>
      <c r="AK986" s="21">
        <v>4.0</v>
      </c>
      <c r="AL986" s="20" t="s">
        <v>2</v>
      </c>
      <c r="AM986" s="20" t="s">
        <v>48</v>
      </c>
      <c r="AN986" s="21">
        <v>1156.0</v>
      </c>
      <c r="AO986" s="21">
        <v>10.0</v>
      </c>
      <c r="AP986" s="20">
        <v>75248.0</v>
      </c>
      <c r="AQ986" s="20">
        <v>1076.26</v>
      </c>
    </row>
    <row r="987" ht="22.5" hidden="1" customHeight="1">
      <c r="AJ987" s="20" t="s">
        <v>65</v>
      </c>
      <c r="AK987" s="21">
        <v>4.0</v>
      </c>
      <c r="AL987" s="20" t="s">
        <v>5</v>
      </c>
      <c r="AM987" s="20" t="s">
        <v>46</v>
      </c>
      <c r="AN987" s="21">
        <v>4996.0</v>
      </c>
      <c r="AO987" s="21">
        <v>20.0</v>
      </c>
      <c r="AP987" s="20">
        <v>73127.0</v>
      </c>
      <c r="AQ987" s="20">
        <v>1076.37</v>
      </c>
    </row>
    <row r="988" ht="22.5" hidden="1" customHeight="1">
      <c r="AJ988" s="20" t="s">
        <v>65</v>
      </c>
      <c r="AK988" s="21">
        <v>4.0</v>
      </c>
      <c r="AL988" s="20" t="s">
        <v>2</v>
      </c>
      <c r="AM988" s="20" t="s">
        <v>52</v>
      </c>
      <c r="AN988" s="21">
        <v>2948.0</v>
      </c>
      <c r="AO988" s="21">
        <v>10.0</v>
      </c>
      <c r="AP988" s="20">
        <v>72379.0</v>
      </c>
      <c r="AQ988" s="20">
        <v>1079.26</v>
      </c>
    </row>
    <row r="989" ht="22.5" hidden="1" customHeight="1">
      <c r="AJ989" s="20" t="s">
        <v>65</v>
      </c>
      <c r="AK989" s="21">
        <v>4.0</v>
      </c>
      <c r="AL989" s="20" t="s">
        <v>3</v>
      </c>
      <c r="AM989" s="20" t="s">
        <v>51</v>
      </c>
      <c r="AN989" s="21">
        <v>1156.0</v>
      </c>
      <c r="AO989" s="21">
        <v>20.0</v>
      </c>
      <c r="AP989" s="20">
        <v>72499.0</v>
      </c>
      <c r="AQ989" s="20">
        <v>1079.45</v>
      </c>
    </row>
    <row r="990" ht="22.5" hidden="1" customHeight="1">
      <c r="AJ990" s="20" t="s">
        <v>65</v>
      </c>
      <c r="AK990" s="21">
        <v>4.0</v>
      </c>
      <c r="AL990" s="20" t="s">
        <v>5</v>
      </c>
      <c r="AM990" s="20" t="s">
        <v>55</v>
      </c>
      <c r="AN990" s="21">
        <v>17284.0</v>
      </c>
      <c r="AO990" s="21">
        <v>20.0</v>
      </c>
      <c r="AP990" s="20">
        <v>77941.0</v>
      </c>
      <c r="AQ990" s="20">
        <v>1080.2</v>
      </c>
    </row>
    <row r="991" ht="22.5" hidden="1" customHeight="1">
      <c r="AJ991" s="20" t="s">
        <v>65</v>
      </c>
      <c r="AK991" s="21">
        <v>4.0</v>
      </c>
      <c r="AL991" s="20" t="s">
        <v>3</v>
      </c>
      <c r="AM991" s="20" t="s">
        <v>55</v>
      </c>
      <c r="AN991" s="21">
        <v>1156.0</v>
      </c>
      <c r="AO991" s="21">
        <v>20.0</v>
      </c>
      <c r="AP991" s="20">
        <v>77883.0</v>
      </c>
      <c r="AQ991" s="20">
        <v>1081.35</v>
      </c>
    </row>
    <row r="992" ht="22.5" hidden="1" customHeight="1">
      <c r="AJ992" s="20" t="s">
        <v>65</v>
      </c>
      <c r="AK992" s="21">
        <v>4.0</v>
      </c>
      <c r="AL992" s="20" t="s">
        <v>5</v>
      </c>
      <c r="AM992" s="20" t="s">
        <v>48</v>
      </c>
      <c r="AN992" s="21">
        <v>66436.0</v>
      </c>
      <c r="AO992" s="21">
        <v>20.0</v>
      </c>
      <c r="AP992" s="20">
        <v>75248.0</v>
      </c>
      <c r="AQ992" s="20">
        <v>1081.48</v>
      </c>
    </row>
    <row r="993" ht="22.5" hidden="1" customHeight="1">
      <c r="AJ993" s="20" t="s">
        <v>65</v>
      </c>
      <c r="AK993" s="21">
        <v>4.0</v>
      </c>
      <c r="AL993" s="20" t="s">
        <v>5</v>
      </c>
      <c r="AM993" s="20" t="s">
        <v>47</v>
      </c>
      <c r="AN993" s="21">
        <v>33668.0</v>
      </c>
      <c r="AO993" s="21">
        <v>20.0</v>
      </c>
      <c r="AP993" s="20">
        <v>76359.0</v>
      </c>
      <c r="AQ993" s="20">
        <v>1082.06</v>
      </c>
    </row>
    <row r="994" ht="22.5" hidden="1" customHeight="1">
      <c r="AJ994" s="20" t="s">
        <v>65</v>
      </c>
      <c r="AK994" s="21">
        <v>4.0</v>
      </c>
      <c r="AL994" s="20" t="s">
        <v>5</v>
      </c>
      <c r="AM994" s="20" t="s">
        <v>50</v>
      </c>
      <c r="AN994" s="21">
        <v>4996.0</v>
      </c>
      <c r="AO994" s="21">
        <v>20.0</v>
      </c>
      <c r="AP994" s="20">
        <v>76535.0</v>
      </c>
      <c r="AQ994" s="20">
        <v>1082.85</v>
      </c>
    </row>
    <row r="995" ht="22.5" hidden="1" customHeight="1">
      <c r="AJ995" s="20" t="s">
        <v>65</v>
      </c>
      <c r="AK995" s="21">
        <v>4.0</v>
      </c>
      <c r="AL995" s="20" t="s">
        <v>2</v>
      </c>
      <c r="AM995" s="20" t="s">
        <v>54</v>
      </c>
      <c r="AN995" s="21">
        <v>2948.0</v>
      </c>
      <c r="AO995" s="21">
        <v>10.0</v>
      </c>
      <c r="AP995" s="20">
        <v>71707.0</v>
      </c>
      <c r="AQ995" s="20">
        <v>1083.05</v>
      </c>
    </row>
    <row r="996" ht="22.5" hidden="1" customHeight="1">
      <c r="AJ996" s="20" t="s">
        <v>65</v>
      </c>
      <c r="AK996" s="21">
        <v>4.0</v>
      </c>
      <c r="AL996" s="20" t="s">
        <v>5</v>
      </c>
      <c r="AM996" s="20" t="s">
        <v>46</v>
      </c>
      <c r="AN996" s="21">
        <v>17284.0</v>
      </c>
      <c r="AO996" s="21">
        <v>20.0</v>
      </c>
      <c r="AP996" s="20">
        <v>73127.0</v>
      </c>
      <c r="AQ996" s="20">
        <v>1083.77</v>
      </c>
    </row>
    <row r="997" ht="22.5" hidden="1" customHeight="1">
      <c r="AJ997" s="20" t="s">
        <v>65</v>
      </c>
      <c r="AK997" s="21">
        <v>4.0</v>
      </c>
      <c r="AL997" s="20" t="s">
        <v>2</v>
      </c>
      <c r="AM997" s="20" t="s">
        <v>54</v>
      </c>
      <c r="AN997" s="21">
        <v>1924.0</v>
      </c>
      <c r="AO997" s="21">
        <v>10.0</v>
      </c>
      <c r="AP997" s="20">
        <v>71707.0</v>
      </c>
      <c r="AQ997" s="20">
        <v>1084.18</v>
      </c>
    </row>
    <row r="998" ht="22.5" hidden="1" customHeight="1">
      <c r="AJ998" s="20" t="s">
        <v>65</v>
      </c>
      <c r="AK998" s="21">
        <v>4.0</v>
      </c>
      <c r="AL998" s="20" t="s">
        <v>5</v>
      </c>
      <c r="AM998" s="20" t="s">
        <v>52</v>
      </c>
      <c r="AN998" s="21">
        <v>2948.0</v>
      </c>
      <c r="AO998" s="21">
        <v>20.0</v>
      </c>
      <c r="AP998" s="20">
        <v>72379.0</v>
      </c>
      <c r="AQ998" s="20">
        <v>1084.87</v>
      </c>
    </row>
    <row r="999" ht="22.5" hidden="1" customHeight="1">
      <c r="AJ999" s="20" t="s">
        <v>65</v>
      </c>
      <c r="AK999" s="21">
        <v>4.0</v>
      </c>
      <c r="AL999" s="20" t="s">
        <v>5</v>
      </c>
      <c r="AM999" s="20" t="s">
        <v>54</v>
      </c>
      <c r="AN999" s="21">
        <v>1924.0</v>
      </c>
      <c r="AO999" s="21">
        <v>20.0</v>
      </c>
      <c r="AP999" s="20">
        <v>71707.0</v>
      </c>
      <c r="AQ999" s="20">
        <v>1085.77</v>
      </c>
    </row>
    <row r="1000" ht="22.5" hidden="1" customHeight="1">
      <c r="AJ1000" s="20" t="s">
        <v>65</v>
      </c>
      <c r="AK1000" s="21">
        <v>4.0</v>
      </c>
      <c r="AL1000" s="20" t="s">
        <v>3</v>
      </c>
      <c r="AM1000" s="20" t="s">
        <v>50</v>
      </c>
      <c r="AN1000" s="21">
        <v>4996.0</v>
      </c>
      <c r="AO1000" s="21">
        <v>20.0</v>
      </c>
      <c r="AP1000" s="20">
        <v>76535.0</v>
      </c>
      <c r="AQ1000" s="20">
        <v>1085.8</v>
      </c>
    </row>
    <row r="1001" ht="22.5" hidden="1" customHeight="1">
      <c r="AJ1001" s="20" t="s">
        <v>65</v>
      </c>
      <c r="AK1001" s="21">
        <v>4.0</v>
      </c>
      <c r="AL1001" s="20" t="s">
        <v>3</v>
      </c>
      <c r="AM1001" s="20" t="s">
        <v>52</v>
      </c>
      <c r="AN1001" s="21">
        <v>2948.0</v>
      </c>
      <c r="AO1001" s="21">
        <v>20.0</v>
      </c>
      <c r="AP1001" s="20">
        <v>72379.0</v>
      </c>
      <c r="AQ1001" s="20">
        <v>1086.15</v>
      </c>
    </row>
    <row r="1002" ht="22.5" hidden="1" customHeight="1">
      <c r="AJ1002" s="20" t="s">
        <v>65</v>
      </c>
      <c r="AK1002" s="21">
        <v>4.0</v>
      </c>
      <c r="AL1002" s="20" t="s">
        <v>2</v>
      </c>
      <c r="AM1002" s="20" t="s">
        <v>47</v>
      </c>
      <c r="AN1002" s="21">
        <v>2948.0</v>
      </c>
      <c r="AO1002" s="21">
        <v>10.0</v>
      </c>
      <c r="AP1002" s="20">
        <v>76359.0</v>
      </c>
      <c r="AQ1002" s="20">
        <v>1086.33</v>
      </c>
    </row>
    <row r="1003" ht="22.5" hidden="1" customHeight="1">
      <c r="AJ1003" s="20" t="s">
        <v>65</v>
      </c>
      <c r="AK1003" s="21">
        <v>4.0</v>
      </c>
      <c r="AL1003" s="20" t="s">
        <v>5</v>
      </c>
      <c r="AM1003" s="20" t="s">
        <v>46</v>
      </c>
      <c r="AN1003" s="21">
        <v>2948.0</v>
      </c>
      <c r="AO1003" s="21">
        <v>20.0</v>
      </c>
      <c r="AP1003" s="20">
        <v>73127.0</v>
      </c>
      <c r="AQ1003" s="20">
        <v>1086.37</v>
      </c>
    </row>
    <row r="1004" ht="22.5" hidden="1" customHeight="1">
      <c r="AJ1004" s="20" t="s">
        <v>65</v>
      </c>
      <c r="AK1004" s="21">
        <v>4.0</v>
      </c>
      <c r="AL1004" s="20" t="s">
        <v>3</v>
      </c>
      <c r="AM1004" s="20" t="s">
        <v>51</v>
      </c>
      <c r="AN1004" s="21">
        <v>1924.0</v>
      </c>
      <c r="AO1004" s="21">
        <v>20.0</v>
      </c>
      <c r="AP1004" s="20">
        <v>72499.0</v>
      </c>
      <c r="AQ1004" s="20">
        <v>1086.67</v>
      </c>
    </row>
    <row r="1005" ht="22.5" hidden="1" customHeight="1">
      <c r="AJ1005" s="20" t="s">
        <v>65</v>
      </c>
      <c r="AK1005" s="21">
        <v>4.0</v>
      </c>
      <c r="AL1005" s="20" t="s">
        <v>5</v>
      </c>
      <c r="AM1005" s="20" t="s">
        <v>54</v>
      </c>
      <c r="AN1005" s="21">
        <v>1156.0</v>
      </c>
      <c r="AO1005" s="21">
        <v>20.0</v>
      </c>
      <c r="AP1005" s="20">
        <v>71712.0</v>
      </c>
      <c r="AQ1005" s="20">
        <v>1086.75</v>
      </c>
    </row>
    <row r="1006" ht="22.5" hidden="1" customHeight="1">
      <c r="AJ1006" s="20" t="s">
        <v>65</v>
      </c>
      <c r="AK1006" s="21">
        <v>4.0</v>
      </c>
      <c r="AL1006" s="20" t="s">
        <v>5</v>
      </c>
      <c r="AM1006" s="20" t="s">
        <v>52</v>
      </c>
      <c r="AN1006" s="21">
        <v>131972.0</v>
      </c>
      <c r="AO1006" s="21">
        <v>20.0</v>
      </c>
      <c r="AP1006" s="20">
        <v>72379.0</v>
      </c>
      <c r="AQ1006" s="20">
        <v>1087.52</v>
      </c>
    </row>
    <row r="1007" ht="22.5" hidden="1" customHeight="1">
      <c r="AJ1007" s="20" t="s">
        <v>65</v>
      </c>
      <c r="AK1007" s="21">
        <v>4.0</v>
      </c>
      <c r="AL1007" s="20" t="s">
        <v>5</v>
      </c>
      <c r="AM1007" s="20" t="s">
        <v>48</v>
      </c>
      <c r="AN1007" s="21">
        <v>2948.0</v>
      </c>
      <c r="AO1007" s="21">
        <v>20.0</v>
      </c>
      <c r="AP1007" s="20">
        <v>75248.0</v>
      </c>
      <c r="AQ1007" s="20">
        <v>1087.6</v>
      </c>
    </row>
    <row r="1008" ht="22.5" hidden="1" customHeight="1">
      <c r="AJ1008" s="20" t="s">
        <v>65</v>
      </c>
      <c r="AK1008" s="21">
        <v>4.0</v>
      </c>
      <c r="AL1008" s="20" t="s">
        <v>5</v>
      </c>
      <c r="AM1008" s="20" t="s">
        <v>57</v>
      </c>
      <c r="AN1008" s="21">
        <v>1412.0</v>
      </c>
      <c r="AO1008" s="21">
        <v>20.0</v>
      </c>
      <c r="AP1008" s="20">
        <v>80959.0</v>
      </c>
      <c r="AQ1008" s="20">
        <v>1087.98</v>
      </c>
    </row>
    <row r="1009" ht="22.5" hidden="1" customHeight="1">
      <c r="AJ1009" s="20" t="s">
        <v>65</v>
      </c>
      <c r="AK1009" s="21">
        <v>4.0</v>
      </c>
      <c r="AL1009" s="20" t="s">
        <v>3</v>
      </c>
      <c r="AM1009" s="20" t="s">
        <v>46</v>
      </c>
      <c r="AN1009" s="21">
        <v>2948.0</v>
      </c>
      <c r="AO1009" s="21">
        <v>20.0</v>
      </c>
      <c r="AP1009" s="20">
        <v>73127.0</v>
      </c>
      <c r="AQ1009" s="20">
        <v>1088.01</v>
      </c>
    </row>
    <row r="1010" ht="22.5" hidden="1" customHeight="1">
      <c r="AJ1010" s="20" t="s">
        <v>65</v>
      </c>
      <c r="AK1010" s="21">
        <v>4.0</v>
      </c>
      <c r="AL1010" s="20" t="s">
        <v>5</v>
      </c>
      <c r="AM1010" s="20" t="s">
        <v>47</v>
      </c>
      <c r="AN1010" s="21">
        <v>2948.0</v>
      </c>
      <c r="AO1010" s="21">
        <v>20.0</v>
      </c>
      <c r="AP1010" s="20">
        <v>76359.0</v>
      </c>
      <c r="AQ1010" s="20">
        <v>1088.16</v>
      </c>
    </row>
    <row r="1011" ht="22.5" hidden="1" customHeight="1">
      <c r="AJ1011" s="20" t="s">
        <v>65</v>
      </c>
      <c r="AK1011" s="21">
        <v>5.0</v>
      </c>
      <c r="AL1011" s="20" t="s">
        <v>4</v>
      </c>
      <c r="AM1011" s="20" t="s">
        <v>49</v>
      </c>
      <c r="AN1011" s="21">
        <v>1156.0</v>
      </c>
      <c r="AO1011" s="21">
        <v>10.0</v>
      </c>
      <c r="AP1011" s="20">
        <v>57208.0</v>
      </c>
      <c r="AQ1011" s="20">
        <v>1088.66</v>
      </c>
    </row>
    <row r="1012" ht="22.5" hidden="1" customHeight="1">
      <c r="AJ1012" s="20" t="s">
        <v>65</v>
      </c>
      <c r="AK1012" s="21">
        <v>4.0</v>
      </c>
      <c r="AL1012" s="20" t="s">
        <v>3</v>
      </c>
      <c r="AM1012" s="20" t="s">
        <v>48</v>
      </c>
      <c r="AN1012" s="21">
        <v>2948.0</v>
      </c>
      <c r="AO1012" s="21">
        <v>20.0</v>
      </c>
      <c r="AP1012" s="20">
        <v>75248.0</v>
      </c>
      <c r="AQ1012" s="20">
        <v>1088.87</v>
      </c>
    </row>
    <row r="1013" ht="22.5" hidden="1" customHeight="1">
      <c r="AJ1013" s="20" t="s">
        <v>65</v>
      </c>
      <c r="AK1013" s="21">
        <v>4.0</v>
      </c>
      <c r="AL1013" s="20" t="s">
        <v>5</v>
      </c>
      <c r="AM1013" s="20" t="s">
        <v>52</v>
      </c>
      <c r="AN1013" s="21">
        <v>9092.0</v>
      </c>
      <c r="AO1013" s="21">
        <v>20.0</v>
      </c>
      <c r="AP1013" s="20">
        <v>72379.0</v>
      </c>
      <c r="AQ1013" s="20">
        <v>1090.62</v>
      </c>
    </row>
    <row r="1014" ht="22.5" hidden="1" customHeight="1">
      <c r="AJ1014" s="20" t="s">
        <v>65</v>
      </c>
      <c r="AK1014" s="21">
        <v>4.0</v>
      </c>
      <c r="AL1014" s="20" t="s">
        <v>5</v>
      </c>
      <c r="AM1014" s="20" t="s">
        <v>48</v>
      </c>
      <c r="AN1014" s="21">
        <v>4996.0</v>
      </c>
      <c r="AO1014" s="21">
        <v>20.0</v>
      </c>
      <c r="AP1014" s="20">
        <v>75248.0</v>
      </c>
      <c r="AQ1014" s="20">
        <v>1091.03</v>
      </c>
    </row>
    <row r="1015" ht="22.5" hidden="1" customHeight="1">
      <c r="AJ1015" s="20" t="s">
        <v>65</v>
      </c>
      <c r="AK1015" s="21">
        <v>4.0</v>
      </c>
      <c r="AL1015" s="20" t="s">
        <v>2</v>
      </c>
      <c r="AM1015" s="20" t="s">
        <v>56</v>
      </c>
      <c r="AN1015" s="21">
        <v>2948.0</v>
      </c>
      <c r="AO1015" s="21">
        <v>10.0</v>
      </c>
      <c r="AP1015" s="20">
        <v>76855.0</v>
      </c>
      <c r="AQ1015" s="20">
        <v>1091.63</v>
      </c>
    </row>
    <row r="1016" ht="22.5" hidden="1" customHeight="1">
      <c r="AJ1016" s="20" t="s">
        <v>65</v>
      </c>
      <c r="AK1016" s="21">
        <v>4.0</v>
      </c>
      <c r="AL1016" s="20" t="s">
        <v>2</v>
      </c>
      <c r="AM1016" s="20" t="s">
        <v>54</v>
      </c>
      <c r="AN1016" s="21">
        <v>1156.0</v>
      </c>
      <c r="AO1016" s="21">
        <v>10.0</v>
      </c>
      <c r="AP1016" s="20">
        <v>71712.0</v>
      </c>
      <c r="AQ1016" s="20">
        <v>1091.74</v>
      </c>
    </row>
    <row r="1017" ht="22.5" hidden="1" customHeight="1">
      <c r="AJ1017" s="20" t="s">
        <v>65</v>
      </c>
      <c r="AK1017" s="21">
        <v>4.0</v>
      </c>
      <c r="AL1017" s="20" t="s">
        <v>2</v>
      </c>
      <c r="AM1017" s="20" t="s">
        <v>52</v>
      </c>
      <c r="AN1017" s="21">
        <v>1924.0</v>
      </c>
      <c r="AO1017" s="21">
        <v>10.0</v>
      </c>
      <c r="AP1017" s="20">
        <v>72379.0</v>
      </c>
      <c r="AQ1017" s="20">
        <v>1092.35</v>
      </c>
    </row>
    <row r="1018" ht="22.5" hidden="1" customHeight="1">
      <c r="AJ1018" s="20" t="s">
        <v>65</v>
      </c>
      <c r="AK1018" s="21">
        <v>4.0</v>
      </c>
      <c r="AL1018" s="20" t="s">
        <v>5</v>
      </c>
      <c r="AM1018" s="20" t="s">
        <v>48</v>
      </c>
      <c r="AN1018" s="21">
        <v>1924.0</v>
      </c>
      <c r="AO1018" s="21">
        <v>20.0</v>
      </c>
      <c r="AP1018" s="20">
        <v>75248.0</v>
      </c>
      <c r="AQ1018" s="20">
        <v>1094.82</v>
      </c>
    </row>
    <row r="1019" ht="22.5" hidden="1" customHeight="1">
      <c r="AJ1019" s="20" t="s">
        <v>65</v>
      </c>
      <c r="AK1019" s="21">
        <v>4.0</v>
      </c>
      <c r="AL1019" s="20" t="s">
        <v>3</v>
      </c>
      <c r="AM1019" s="20" t="s">
        <v>55</v>
      </c>
      <c r="AN1019" s="21">
        <v>1412.0</v>
      </c>
      <c r="AO1019" s="21">
        <v>20.0</v>
      </c>
      <c r="AP1019" s="20">
        <v>77941.0</v>
      </c>
      <c r="AQ1019" s="20">
        <v>1094.85</v>
      </c>
    </row>
    <row r="1020" ht="22.5" hidden="1" customHeight="1">
      <c r="AJ1020" s="20" t="s">
        <v>65</v>
      </c>
      <c r="AK1020" s="21">
        <v>4.0</v>
      </c>
      <c r="AL1020" s="20" t="s">
        <v>5</v>
      </c>
      <c r="AM1020" s="20" t="s">
        <v>53</v>
      </c>
      <c r="AN1020" s="21">
        <v>131972.0</v>
      </c>
      <c r="AO1020" s="21">
        <v>20.0</v>
      </c>
      <c r="AP1020" s="20">
        <v>64701.0</v>
      </c>
      <c r="AQ1020" s="20">
        <v>1096.93</v>
      </c>
    </row>
    <row r="1021" ht="22.5" hidden="1" customHeight="1">
      <c r="AJ1021" s="20" t="s">
        <v>65</v>
      </c>
      <c r="AK1021" s="21">
        <v>4.0</v>
      </c>
      <c r="AL1021" s="20" t="s">
        <v>5</v>
      </c>
      <c r="AM1021" s="20" t="s">
        <v>55</v>
      </c>
      <c r="AN1021" s="21">
        <v>4996.0</v>
      </c>
      <c r="AO1021" s="21">
        <v>20.0</v>
      </c>
      <c r="AP1021" s="20">
        <v>77883.0</v>
      </c>
      <c r="AQ1021" s="20">
        <v>1097.66</v>
      </c>
    </row>
    <row r="1022" ht="22.5" hidden="1" customHeight="1">
      <c r="AJ1022" s="20" t="s">
        <v>65</v>
      </c>
      <c r="AK1022" s="21">
        <v>4.0</v>
      </c>
      <c r="AL1022" s="20" t="s">
        <v>5</v>
      </c>
      <c r="AM1022" s="20" t="s">
        <v>52</v>
      </c>
      <c r="AN1022" s="21">
        <v>1924.0</v>
      </c>
      <c r="AO1022" s="21">
        <v>20.0</v>
      </c>
      <c r="AP1022" s="20">
        <v>72379.0</v>
      </c>
      <c r="AQ1022" s="20">
        <v>1098.02</v>
      </c>
    </row>
    <row r="1023" ht="22.5" hidden="1" customHeight="1">
      <c r="AJ1023" s="20" t="s">
        <v>65</v>
      </c>
      <c r="AK1023" s="21">
        <v>4.0</v>
      </c>
      <c r="AL1023" s="20" t="s">
        <v>3</v>
      </c>
      <c r="AM1023" s="20" t="s">
        <v>48</v>
      </c>
      <c r="AN1023" s="21">
        <v>4996.0</v>
      </c>
      <c r="AO1023" s="21">
        <v>20.0</v>
      </c>
      <c r="AP1023" s="20">
        <v>75248.0</v>
      </c>
      <c r="AQ1023" s="20">
        <v>1101.87</v>
      </c>
    </row>
    <row r="1024" ht="22.5" hidden="1" customHeight="1">
      <c r="AJ1024" s="20" t="s">
        <v>65</v>
      </c>
      <c r="AK1024" s="21">
        <v>4.0</v>
      </c>
      <c r="AL1024" s="20" t="s">
        <v>5</v>
      </c>
      <c r="AM1024" s="20" t="s">
        <v>53</v>
      </c>
      <c r="AN1024" s="21">
        <v>66436.0</v>
      </c>
      <c r="AO1024" s="21">
        <v>20.0</v>
      </c>
      <c r="AP1024" s="20">
        <v>64701.0</v>
      </c>
      <c r="AQ1024" s="20">
        <v>1103.29</v>
      </c>
    </row>
    <row r="1025" ht="22.5" hidden="1" customHeight="1">
      <c r="AJ1025" s="20" t="s">
        <v>65</v>
      </c>
      <c r="AK1025" s="21">
        <v>4.0</v>
      </c>
      <c r="AL1025" s="20" t="s">
        <v>3</v>
      </c>
      <c r="AM1025" s="20" t="s">
        <v>47</v>
      </c>
      <c r="AN1025" s="21">
        <v>2948.0</v>
      </c>
      <c r="AO1025" s="21">
        <v>20.0</v>
      </c>
      <c r="AP1025" s="20">
        <v>76359.0</v>
      </c>
      <c r="AQ1025" s="20">
        <v>1103.34</v>
      </c>
    </row>
    <row r="1026" ht="22.5" hidden="1" customHeight="1">
      <c r="AJ1026" s="20" t="s">
        <v>65</v>
      </c>
      <c r="AK1026" s="21">
        <v>4.0</v>
      </c>
      <c r="AL1026" s="20" t="s">
        <v>5</v>
      </c>
      <c r="AM1026" s="20" t="s">
        <v>47</v>
      </c>
      <c r="AN1026" s="21">
        <v>66436.0</v>
      </c>
      <c r="AO1026" s="21">
        <v>20.0</v>
      </c>
      <c r="AP1026" s="20">
        <v>76359.0</v>
      </c>
      <c r="AQ1026" s="20">
        <v>1103.96</v>
      </c>
    </row>
    <row r="1027" ht="22.5" hidden="1" customHeight="1">
      <c r="AJ1027" s="20" t="s">
        <v>65</v>
      </c>
      <c r="AK1027" s="21">
        <v>4.0</v>
      </c>
      <c r="AL1027" s="20" t="s">
        <v>2</v>
      </c>
      <c r="AM1027" s="20" t="s">
        <v>55</v>
      </c>
      <c r="AN1027" s="21">
        <v>4996.0</v>
      </c>
      <c r="AO1027" s="21">
        <v>10.0</v>
      </c>
      <c r="AP1027" s="20">
        <v>77883.0</v>
      </c>
      <c r="AQ1027" s="20">
        <v>1104.37</v>
      </c>
    </row>
    <row r="1028" ht="22.5" hidden="1" customHeight="1">
      <c r="AJ1028" s="20" t="s">
        <v>65</v>
      </c>
      <c r="AK1028" s="21">
        <v>4.0</v>
      </c>
      <c r="AL1028" s="20" t="s">
        <v>2</v>
      </c>
      <c r="AM1028" s="20" t="s">
        <v>57</v>
      </c>
      <c r="AN1028" s="21">
        <v>1412.0</v>
      </c>
      <c r="AO1028" s="21">
        <v>10.0</v>
      </c>
      <c r="AP1028" s="20">
        <v>80959.0</v>
      </c>
      <c r="AQ1028" s="20">
        <v>1104.61</v>
      </c>
    </row>
    <row r="1029" ht="22.5" hidden="1" customHeight="1">
      <c r="AJ1029" s="20" t="s">
        <v>65</v>
      </c>
      <c r="AK1029" s="21">
        <v>4.0</v>
      </c>
      <c r="AL1029" s="20" t="s">
        <v>5</v>
      </c>
      <c r="AM1029" s="20" t="s">
        <v>56</v>
      </c>
      <c r="AN1029" s="21">
        <v>2948.0</v>
      </c>
      <c r="AO1029" s="21">
        <v>20.0</v>
      </c>
      <c r="AP1029" s="20">
        <v>76855.0</v>
      </c>
      <c r="AQ1029" s="20">
        <v>1105.67</v>
      </c>
    </row>
    <row r="1030" ht="22.5" hidden="1" customHeight="1">
      <c r="AJ1030" s="20" t="s">
        <v>65</v>
      </c>
      <c r="AK1030" s="21">
        <v>4.0</v>
      </c>
      <c r="AL1030" s="20" t="s">
        <v>2</v>
      </c>
      <c r="AM1030" s="20" t="s">
        <v>47</v>
      </c>
      <c r="AN1030" s="21">
        <v>1156.0</v>
      </c>
      <c r="AO1030" s="21">
        <v>10.0</v>
      </c>
      <c r="AP1030" s="20">
        <v>76359.0</v>
      </c>
      <c r="AQ1030" s="20">
        <v>1106.79</v>
      </c>
    </row>
    <row r="1031" ht="22.5" hidden="1" customHeight="1">
      <c r="AJ1031" s="20" t="s">
        <v>65</v>
      </c>
      <c r="AK1031" s="21">
        <v>4.0</v>
      </c>
      <c r="AL1031" s="20" t="s">
        <v>3</v>
      </c>
      <c r="AM1031" s="20" t="s">
        <v>57</v>
      </c>
      <c r="AN1031" s="21">
        <v>1412.0</v>
      </c>
      <c r="AO1031" s="21">
        <v>20.0</v>
      </c>
      <c r="AP1031" s="20">
        <v>80959.0</v>
      </c>
      <c r="AQ1031" s="20">
        <v>1106.98</v>
      </c>
    </row>
    <row r="1032" ht="22.5" hidden="1" customHeight="1">
      <c r="AJ1032" s="20" t="s">
        <v>65</v>
      </c>
      <c r="AK1032" s="21">
        <v>4.0</v>
      </c>
      <c r="AL1032" s="20" t="s">
        <v>2</v>
      </c>
      <c r="AM1032" s="20" t="s">
        <v>56</v>
      </c>
      <c r="AN1032" s="21">
        <v>4996.0</v>
      </c>
      <c r="AO1032" s="21">
        <v>10.0</v>
      </c>
      <c r="AP1032" s="20">
        <v>76867.0</v>
      </c>
      <c r="AQ1032" s="20">
        <v>1107.56</v>
      </c>
    </row>
    <row r="1033" ht="22.5" hidden="1" customHeight="1">
      <c r="AJ1033" s="20" t="s">
        <v>65</v>
      </c>
      <c r="AK1033" s="21">
        <v>4.0</v>
      </c>
      <c r="AL1033" s="20" t="s">
        <v>3</v>
      </c>
      <c r="AM1033" s="20" t="s">
        <v>52</v>
      </c>
      <c r="AN1033" s="21">
        <v>1924.0</v>
      </c>
      <c r="AO1033" s="21">
        <v>20.0</v>
      </c>
      <c r="AP1033" s="20">
        <v>72379.0</v>
      </c>
      <c r="AQ1033" s="20">
        <v>1107.69</v>
      </c>
    </row>
    <row r="1034" ht="22.5" hidden="1" customHeight="1">
      <c r="AJ1034" s="20" t="s">
        <v>65</v>
      </c>
      <c r="AK1034" s="21">
        <v>4.0</v>
      </c>
      <c r="AL1034" s="20" t="s">
        <v>2</v>
      </c>
      <c r="AM1034" s="20" t="s">
        <v>53</v>
      </c>
      <c r="AN1034" s="21">
        <v>1156.0</v>
      </c>
      <c r="AO1034" s="21">
        <v>10.0</v>
      </c>
      <c r="AP1034" s="20">
        <v>64718.0</v>
      </c>
      <c r="AQ1034" s="20">
        <v>1108.24</v>
      </c>
    </row>
    <row r="1035" ht="22.5" hidden="1" customHeight="1">
      <c r="AJ1035" s="20" t="s">
        <v>65</v>
      </c>
      <c r="AK1035" s="21">
        <v>4.0</v>
      </c>
      <c r="AL1035" s="20" t="s">
        <v>5</v>
      </c>
      <c r="AM1035" s="20" t="s">
        <v>53</v>
      </c>
      <c r="AN1035" s="21">
        <v>1156.0</v>
      </c>
      <c r="AO1035" s="21">
        <v>20.0</v>
      </c>
      <c r="AP1035" s="20">
        <v>64718.0</v>
      </c>
      <c r="AQ1035" s="20">
        <v>1109.19</v>
      </c>
    </row>
    <row r="1036" ht="22.5" hidden="1" customHeight="1">
      <c r="AJ1036" s="20" t="s">
        <v>65</v>
      </c>
      <c r="AK1036" s="21">
        <v>4.0</v>
      </c>
      <c r="AL1036" s="20" t="s">
        <v>5</v>
      </c>
      <c r="AM1036" s="20" t="s">
        <v>48</v>
      </c>
      <c r="AN1036" s="21">
        <v>17284.0</v>
      </c>
      <c r="AO1036" s="21">
        <v>20.0</v>
      </c>
      <c r="AP1036" s="20">
        <v>75248.0</v>
      </c>
      <c r="AQ1036" s="20">
        <v>1109.55</v>
      </c>
    </row>
    <row r="1037" ht="22.5" hidden="1" customHeight="1">
      <c r="AJ1037" s="20" t="s">
        <v>65</v>
      </c>
      <c r="AK1037" s="21">
        <v>5.0</v>
      </c>
      <c r="AL1037" s="20" t="s">
        <v>2</v>
      </c>
      <c r="AM1037" s="20" t="s">
        <v>46</v>
      </c>
      <c r="AN1037" s="21">
        <v>4996.0</v>
      </c>
      <c r="AO1037" s="21">
        <v>10.0</v>
      </c>
      <c r="AP1037" s="20">
        <v>52932.0</v>
      </c>
      <c r="AQ1037" s="20">
        <v>1109.6</v>
      </c>
    </row>
    <row r="1038" ht="22.5" hidden="1" customHeight="1">
      <c r="AJ1038" s="20" t="s">
        <v>65</v>
      </c>
      <c r="AK1038" s="21">
        <v>4.0</v>
      </c>
      <c r="AL1038" s="20" t="s">
        <v>5</v>
      </c>
      <c r="AM1038" s="20" t="s">
        <v>57</v>
      </c>
      <c r="AN1038" s="21">
        <v>131972.0</v>
      </c>
      <c r="AO1038" s="21">
        <v>20.0</v>
      </c>
      <c r="AP1038" s="20">
        <v>81174.0</v>
      </c>
      <c r="AQ1038" s="20">
        <v>1110.12</v>
      </c>
    </row>
    <row r="1039" ht="22.5" hidden="1" customHeight="1">
      <c r="AJ1039" s="20" t="s">
        <v>65</v>
      </c>
      <c r="AK1039" s="21">
        <v>4.0</v>
      </c>
      <c r="AL1039" s="20" t="s">
        <v>5</v>
      </c>
      <c r="AM1039" s="20" t="s">
        <v>48</v>
      </c>
      <c r="AN1039" s="21">
        <v>131972.0</v>
      </c>
      <c r="AO1039" s="21">
        <v>20.0</v>
      </c>
      <c r="AP1039" s="20">
        <v>75248.0</v>
      </c>
      <c r="AQ1039" s="20">
        <v>1111.27</v>
      </c>
    </row>
    <row r="1040" ht="22.5" hidden="1" customHeight="1">
      <c r="AJ1040" s="20" t="s">
        <v>65</v>
      </c>
      <c r="AK1040" s="21">
        <v>4.0</v>
      </c>
      <c r="AL1040" s="20" t="s">
        <v>5</v>
      </c>
      <c r="AM1040" s="20" t="s">
        <v>52</v>
      </c>
      <c r="AN1040" s="21">
        <v>66436.0</v>
      </c>
      <c r="AO1040" s="21">
        <v>20.0</v>
      </c>
      <c r="AP1040" s="20">
        <v>72379.0</v>
      </c>
      <c r="AQ1040" s="20">
        <v>1111.53</v>
      </c>
    </row>
    <row r="1041" ht="22.5" hidden="1" customHeight="1">
      <c r="AJ1041" s="20" t="s">
        <v>65</v>
      </c>
      <c r="AK1041" s="21">
        <v>4.0</v>
      </c>
      <c r="AL1041" s="20" t="s">
        <v>5</v>
      </c>
      <c r="AM1041" s="20" t="s">
        <v>52</v>
      </c>
      <c r="AN1041" s="21">
        <v>17284.0</v>
      </c>
      <c r="AO1041" s="21">
        <v>20.0</v>
      </c>
      <c r="AP1041" s="20">
        <v>72379.0</v>
      </c>
      <c r="AQ1041" s="20">
        <v>1112.79</v>
      </c>
    </row>
    <row r="1042" ht="22.5" hidden="1" customHeight="1">
      <c r="AJ1042" s="20" t="s">
        <v>65</v>
      </c>
      <c r="AK1042" s="21">
        <v>4.0</v>
      </c>
      <c r="AL1042" s="20" t="s">
        <v>5</v>
      </c>
      <c r="AM1042" s="20" t="s">
        <v>47</v>
      </c>
      <c r="AN1042" s="21">
        <v>1156.0</v>
      </c>
      <c r="AO1042" s="21">
        <v>20.0</v>
      </c>
      <c r="AP1042" s="20">
        <v>76359.0</v>
      </c>
      <c r="AQ1042" s="20">
        <v>1112.96</v>
      </c>
    </row>
    <row r="1043" ht="22.5" hidden="1" customHeight="1">
      <c r="AJ1043" s="20" t="s">
        <v>65</v>
      </c>
      <c r="AK1043" s="21">
        <v>4.0</v>
      </c>
      <c r="AL1043" s="20" t="s">
        <v>5</v>
      </c>
      <c r="AM1043" s="20" t="s">
        <v>54</v>
      </c>
      <c r="AN1043" s="21">
        <v>33668.0</v>
      </c>
      <c r="AO1043" s="21">
        <v>20.0</v>
      </c>
      <c r="AP1043" s="20">
        <v>71712.0</v>
      </c>
      <c r="AQ1043" s="20">
        <v>1115.27</v>
      </c>
    </row>
    <row r="1044" ht="22.5" hidden="1" customHeight="1">
      <c r="AJ1044" s="20" t="s">
        <v>65</v>
      </c>
      <c r="AK1044" s="21">
        <v>4.0</v>
      </c>
      <c r="AL1044" s="20" t="s">
        <v>3</v>
      </c>
      <c r="AM1044" s="20" t="s">
        <v>48</v>
      </c>
      <c r="AN1044" s="21">
        <v>1924.0</v>
      </c>
      <c r="AO1044" s="21">
        <v>20.0</v>
      </c>
      <c r="AP1044" s="20">
        <v>75248.0</v>
      </c>
      <c r="AQ1044" s="20">
        <v>1115.31</v>
      </c>
    </row>
    <row r="1045" ht="22.5" hidden="1" customHeight="1">
      <c r="AJ1045" s="20" t="s">
        <v>65</v>
      </c>
      <c r="AK1045" s="21">
        <v>4.0</v>
      </c>
      <c r="AL1045" s="20" t="s">
        <v>3</v>
      </c>
      <c r="AM1045" s="20" t="s">
        <v>54</v>
      </c>
      <c r="AN1045" s="21">
        <v>1924.0</v>
      </c>
      <c r="AO1045" s="21">
        <v>20.0</v>
      </c>
      <c r="AP1045" s="20">
        <v>71707.0</v>
      </c>
      <c r="AQ1045" s="20">
        <v>1115.35</v>
      </c>
    </row>
    <row r="1046" ht="22.5" hidden="1" customHeight="1">
      <c r="AJ1046" s="20" t="s">
        <v>65</v>
      </c>
      <c r="AK1046" s="21">
        <v>4.0</v>
      </c>
      <c r="AL1046" s="20" t="s">
        <v>2</v>
      </c>
      <c r="AM1046" s="20" t="s">
        <v>56</v>
      </c>
      <c r="AN1046" s="21">
        <v>1924.0</v>
      </c>
      <c r="AO1046" s="21">
        <v>10.0</v>
      </c>
      <c r="AP1046" s="20">
        <v>76855.0</v>
      </c>
      <c r="AQ1046" s="20">
        <v>1115.47</v>
      </c>
    </row>
    <row r="1047" ht="22.5" hidden="1" customHeight="1">
      <c r="AJ1047" s="20" t="s">
        <v>65</v>
      </c>
      <c r="AK1047" s="21">
        <v>4.0</v>
      </c>
      <c r="AL1047" s="20" t="s">
        <v>5</v>
      </c>
      <c r="AM1047" s="20" t="s">
        <v>56</v>
      </c>
      <c r="AN1047" s="21">
        <v>1412.0</v>
      </c>
      <c r="AO1047" s="21">
        <v>20.0</v>
      </c>
      <c r="AP1047" s="20">
        <v>76855.0</v>
      </c>
      <c r="AQ1047" s="20">
        <v>1115.74</v>
      </c>
    </row>
    <row r="1048" ht="22.5" hidden="1" customHeight="1">
      <c r="AJ1048" s="20" t="s">
        <v>65</v>
      </c>
      <c r="AK1048" s="21">
        <v>4.0</v>
      </c>
      <c r="AL1048" s="20" t="s">
        <v>5</v>
      </c>
      <c r="AM1048" s="20" t="s">
        <v>54</v>
      </c>
      <c r="AN1048" s="21">
        <v>131972.0</v>
      </c>
      <c r="AO1048" s="21">
        <v>20.0</v>
      </c>
      <c r="AP1048" s="20">
        <v>71707.0</v>
      </c>
      <c r="AQ1048" s="20">
        <v>1116.58</v>
      </c>
    </row>
    <row r="1049" ht="22.5" hidden="1" customHeight="1">
      <c r="AJ1049" s="20" t="s">
        <v>65</v>
      </c>
      <c r="AK1049" s="21">
        <v>4.0</v>
      </c>
      <c r="AL1049" s="20" t="s">
        <v>2</v>
      </c>
      <c r="AM1049" s="20" t="s">
        <v>53</v>
      </c>
      <c r="AN1049" s="21">
        <v>1924.0</v>
      </c>
      <c r="AO1049" s="21">
        <v>10.0</v>
      </c>
      <c r="AP1049" s="20">
        <v>64698.0</v>
      </c>
      <c r="AQ1049" s="20">
        <v>1116.58</v>
      </c>
    </row>
    <row r="1050" ht="22.5" hidden="1" customHeight="1">
      <c r="AJ1050" s="20" t="s">
        <v>65</v>
      </c>
      <c r="AK1050" s="21">
        <v>4.0</v>
      </c>
      <c r="AL1050" s="20" t="s">
        <v>3</v>
      </c>
      <c r="AM1050" s="20" t="s">
        <v>54</v>
      </c>
      <c r="AN1050" s="21">
        <v>2948.0</v>
      </c>
      <c r="AO1050" s="21">
        <v>20.0</v>
      </c>
      <c r="AP1050" s="20">
        <v>71707.0</v>
      </c>
      <c r="AQ1050" s="20">
        <v>1117.35</v>
      </c>
    </row>
    <row r="1051" ht="22.5" hidden="1" customHeight="1">
      <c r="AJ1051" s="20" t="s">
        <v>65</v>
      </c>
      <c r="AK1051" s="21">
        <v>4.0</v>
      </c>
      <c r="AL1051" s="20" t="s">
        <v>2</v>
      </c>
      <c r="AM1051" s="20" t="s">
        <v>46</v>
      </c>
      <c r="AN1051" s="21">
        <v>1156.0</v>
      </c>
      <c r="AO1051" s="21">
        <v>10.0</v>
      </c>
      <c r="AP1051" s="20">
        <v>73127.0</v>
      </c>
      <c r="AQ1051" s="20">
        <v>1119.15</v>
      </c>
    </row>
    <row r="1052" ht="22.5" hidden="1" customHeight="1">
      <c r="AJ1052" s="20" t="s">
        <v>65</v>
      </c>
      <c r="AK1052" s="21">
        <v>4.0</v>
      </c>
      <c r="AL1052" s="20" t="s">
        <v>5</v>
      </c>
      <c r="AM1052" s="20" t="s">
        <v>47</v>
      </c>
      <c r="AN1052" s="21">
        <v>17284.0</v>
      </c>
      <c r="AO1052" s="21">
        <v>20.0</v>
      </c>
      <c r="AP1052" s="20">
        <v>76359.0</v>
      </c>
      <c r="AQ1052" s="20">
        <v>1119.34</v>
      </c>
    </row>
    <row r="1053" ht="22.5" hidden="1" customHeight="1">
      <c r="AJ1053" s="20" t="s">
        <v>65</v>
      </c>
      <c r="AK1053" s="21">
        <v>5.0</v>
      </c>
      <c r="AL1053" s="20" t="s">
        <v>5</v>
      </c>
      <c r="AM1053" s="20" t="s">
        <v>49</v>
      </c>
      <c r="AN1053" s="21">
        <v>1156.0</v>
      </c>
      <c r="AO1053" s="21">
        <v>20.0</v>
      </c>
      <c r="AP1053" s="20">
        <v>57208.0</v>
      </c>
      <c r="AQ1053" s="20">
        <v>1119.67</v>
      </c>
    </row>
    <row r="1054" ht="22.5" hidden="1" customHeight="1">
      <c r="AJ1054" s="20" t="s">
        <v>65</v>
      </c>
      <c r="AK1054" s="21">
        <v>4.0</v>
      </c>
      <c r="AL1054" s="20" t="s">
        <v>5</v>
      </c>
      <c r="AM1054" s="20" t="s">
        <v>56</v>
      </c>
      <c r="AN1054" s="21">
        <v>1924.0</v>
      </c>
      <c r="AO1054" s="21">
        <v>20.0</v>
      </c>
      <c r="AP1054" s="20">
        <v>76855.0</v>
      </c>
      <c r="AQ1054" s="20">
        <v>1119.69</v>
      </c>
    </row>
    <row r="1055" ht="22.5" hidden="1" customHeight="1">
      <c r="AJ1055" s="20" t="s">
        <v>65</v>
      </c>
      <c r="AK1055" s="21">
        <v>4.0</v>
      </c>
      <c r="AL1055" s="20" t="s">
        <v>2</v>
      </c>
      <c r="AM1055" s="20" t="s">
        <v>48</v>
      </c>
      <c r="AN1055" s="21">
        <v>1924.0</v>
      </c>
      <c r="AO1055" s="21">
        <v>10.0</v>
      </c>
      <c r="AP1055" s="20">
        <v>75248.0</v>
      </c>
      <c r="AQ1055" s="20">
        <v>1121.31</v>
      </c>
    </row>
    <row r="1056" ht="22.5" hidden="1" customHeight="1">
      <c r="AJ1056" s="20" t="s">
        <v>65</v>
      </c>
      <c r="AK1056" s="21">
        <v>4.0</v>
      </c>
      <c r="AL1056" s="20" t="s">
        <v>5</v>
      </c>
      <c r="AM1056" s="20" t="s">
        <v>57</v>
      </c>
      <c r="AN1056" s="21">
        <v>1156.0</v>
      </c>
      <c r="AO1056" s="21">
        <v>20.0</v>
      </c>
      <c r="AP1056" s="20">
        <v>80959.0</v>
      </c>
      <c r="AQ1056" s="20">
        <v>1121.71</v>
      </c>
    </row>
    <row r="1057" ht="22.5" hidden="1" customHeight="1">
      <c r="AJ1057" s="20" t="s">
        <v>65</v>
      </c>
      <c r="AK1057" s="21">
        <v>4.0</v>
      </c>
      <c r="AL1057" s="20" t="s">
        <v>4</v>
      </c>
      <c r="AM1057" s="20" t="s">
        <v>50</v>
      </c>
      <c r="AN1057" s="21">
        <v>1156.0</v>
      </c>
      <c r="AO1057" s="21">
        <v>10.0</v>
      </c>
      <c r="AP1057" s="20">
        <v>76445.0</v>
      </c>
      <c r="AQ1057" s="20">
        <v>1121.83</v>
      </c>
    </row>
    <row r="1058" ht="22.5" hidden="1" customHeight="1">
      <c r="AJ1058" s="20" t="s">
        <v>65</v>
      </c>
      <c r="AK1058" s="21">
        <v>4.0</v>
      </c>
      <c r="AL1058" s="20" t="s">
        <v>5</v>
      </c>
      <c r="AM1058" s="20" t="s">
        <v>47</v>
      </c>
      <c r="AN1058" s="21">
        <v>1924.0</v>
      </c>
      <c r="AO1058" s="21">
        <v>20.0</v>
      </c>
      <c r="AP1058" s="20">
        <v>76359.0</v>
      </c>
      <c r="AQ1058" s="20">
        <v>1121.97</v>
      </c>
    </row>
    <row r="1059" ht="22.5" hidden="1" customHeight="1">
      <c r="AJ1059" s="20" t="s">
        <v>65</v>
      </c>
      <c r="AK1059" s="21">
        <v>4.0</v>
      </c>
      <c r="AL1059" s="20" t="s">
        <v>2</v>
      </c>
      <c r="AM1059" s="20" t="s">
        <v>56</v>
      </c>
      <c r="AN1059" s="21">
        <v>1412.0</v>
      </c>
      <c r="AO1059" s="21">
        <v>10.0</v>
      </c>
      <c r="AP1059" s="20">
        <v>76855.0</v>
      </c>
      <c r="AQ1059" s="20">
        <v>1122.62</v>
      </c>
    </row>
    <row r="1060" ht="22.5" hidden="1" customHeight="1">
      <c r="AJ1060" s="20" t="s">
        <v>65</v>
      </c>
      <c r="AK1060" s="21">
        <v>4.0</v>
      </c>
      <c r="AL1060" s="20" t="s">
        <v>5</v>
      </c>
      <c r="AM1060" s="20" t="s">
        <v>57</v>
      </c>
      <c r="AN1060" s="21">
        <v>17284.0</v>
      </c>
      <c r="AO1060" s="21">
        <v>20.0</v>
      </c>
      <c r="AP1060" s="20">
        <v>81630.0</v>
      </c>
      <c r="AQ1060" s="20">
        <v>1123.65</v>
      </c>
    </row>
    <row r="1061" ht="22.5" hidden="1" customHeight="1">
      <c r="AJ1061" s="20" t="s">
        <v>65</v>
      </c>
      <c r="AK1061" s="21">
        <v>4.0</v>
      </c>
      <c r="AL1061" s="20" t="s">
        <v>5</v>
      </c>
      <c r="AM1061" s="20" t="s">
        <v>56</v>
      </c>
      <c r="AN1061" s="21">
        <v>33668.0</v>
      </c>
      <c r="AO1061" s="21">
        <v>20.0</v>
      </c>
      <c r="AP1061" s="20">
        <v>76855.0</v>
      </c>
      <c r="AQ1061" s="20">
        <v>1124.48</v>
      </c>
    </row>
    <row r="1062" ht="22.5" hidden="1" customHeight="1">
      <c r="AJ1062" s="20" t="s">
        <v>65</v>
      </c>
      <c r="AK1062" s="21">
        <v>4.0</v>
      </c>
      <c r="AL1062" s="20" t="s">
        <v>5</v>
      </c>
      <c r="AM1062" s="20" t="s">
        <v>56</v>
      </c>
      <c r="AN1062" s="21">
        <v>66436.0</v>
      </c>
      <c r="AO1062" s="21">
        <v>20.0</v>
      </c>
      <c r="AP1062" s="20">
        <v>76855.0</v>
      </c>
      <c r="AQ1062" s="20">
        <v>1125.12</v>
      </c>
    </row>
    <row r="1063" ht="22.5" hidden="1" customHeight="1">
      <c r="AJ1063" s="20" t="s">
        <v>65</v>
      </c>
      <c r="AK1063" s="21">
        <v>4.0</v>
      </c>
      <c r="AL1063" s="20" t="s">
        <v>5</v>
      </c>
      <c r="AM1063" s="20" t="s">
        <v>46</v>
      </c>
      <c r="AN1063" s="21">
        <v>1156.0</v>
      </c>
      <c r="AO1063" s="21">
        <v>20.0</v>
      </c>
      <c r="AP1063" s="20">
        <v>73127.0</v>
      </c>
      <c r="AQ1063" s="20">
        <v>1126.04</v>
      </c>
    </row>
    <row r="1064" ht="22.5" hidden="1" customHeight="1">
      <c r="AJ1064" s="20" t="s">
        <v>65</v>
      </c>
      <c r="AK1064" s="21">
        <v>4.0</v>
      </c>
      <c r="AL1064" s="20" t="s">
        <v>5</v>
      </c>
      <c r="AM1064" s="20" t="s">
        <v>53</v>
      </c>
      <c r="AN1064" s="21">
        <v>1924.0</v>
      </c>
      <c r="AO1064" s="21">
        <v>20.0</v>
      </c>
      <c r="AP1064" s="20">
        <v>64698.0</v>
      </c>
      <c r="AQ1064" s="20">
        <v>1126.06</v>
      </c>
    </row>
    <row r="1065" ht="22.5" hidden="1" customHeight="1">
      <c r="AJ1065" s="20" t="s">
        <v>65</v>
      </c>
      <c r="AK1065" s="21">
        <v>4.0</v>
      </c>
      <c r="AL1065" s="20" t="s">
        <v>3</v>
      </c>
      <c r="AM1065" s="20" t="s">
        <v>54</v>
      </c>
      <c r="AN1065" s="21">
        <v>1156.0</v>
      </c>
      <c r="AO1065" s="21">
        <v>20.0</v>
      </c>
      <c r="AP1065" s="20">
        <v>71712.0</v>
      </c>
      <c r="AQ1065" s="20">
        <v>1126.29</v>
      </c>
    </row>
    <row r="1066" ht="22.5" hidden="1" customHeight="1">
      <c r="AJ1066" s="20" t="s">
        <v>65</v>
      </c>
      <c r="AK1066" s="21">
        <v>4.0</v>
      </c>
      <c r="AL1066" s="20" t="s">
        <v>4</v>
      </c>
      <c r="AM1066" s="20" t="s">
        <v>49</v>
      </c>
      <c r="AN1066" s="21">
        <v>33668.0</v>
      </c>
      <c r="AO1066" s="21">
        <v>10.0</v>
      </c>
      <c r="AP1066" s="20">
        <v>79757.0</v>
      </c>
      <c r="AQ1066" s="20">
        <v>1127.85</v>
      </c>
    </row>
    <row r="1067" ht="22.5" hidden="1" customHeight="1">
      <c r="AJ1067" s="20" t="s">
        <v>65</v>
      </c>
      <c r="AK1067" s="21">
        <v>4.0</v>
      </c>
      <c r="AL1067" s="20" t="s">
        <v>5</v>
      </c>
      <c r="AM1067" s="20" t="s">
        <v>54</v>
      </c>
      <c r="AN1067" s="21">
        <v>17284.0</v>
      </c>
      <c r="AO1067" s="21">
        <v>20.0</v>
      </c>
      <c r="AP1067" s="20">
        <v>71707.0</v>
      </c>
      <c r="AQ1067" s="20">
        <v>1128.43</v>
      </c>
    </row>
    <row r="1068" ht="22.5" hidden="1" customHeight="1">
      <c r="AJ1068" s="20" t="s">
        <v>65</v>
      </c>
      <c r="AK1068" s="21">
        <v>5.0</v>
      </c>
      <c r="AL1068" s="20" t="s">
        <v>2</v>
      </c>
      <c r="AM1068" s="20" t="s">
        <v>49</v>
      </c>
      <c r="AN1068" s="21">
        <v>1156.0</v>
      </c>
      <c r="AO1068" s="21">
        <v>10.0</v>
      </c>
      <c r="AP1068" s="20">
        <v>57208.0</v>
      </c>
      <c r="AQ1068" s="20">
        <v>1128.95</v>
      </c>
    </row>
    <row r="1069" ht="22.5" hidden="1" customHeight="1">
      <c r="AJ1069" s="20" t="s">
        <v>65</v>
      </c>
      <c r="AK1069" s="21">
        <v>4.0</v>
      </c>
      <c r="AL1069" s="20" t="s">
        <v>5</v>
      </c>
      <c r="AM1069" s="20" t="s">
        <v>57</v>
      </c>
      <c r="AN1069" s="21">
        <v>1924.0</v>
      </c>
      <c r="AO1069" s="21">
        <v>20.0</v>
      </c>
      <c r="AP1069" s="20">
        <v>81174.0</v>
      </c>
      <c r="AQ1069" s="20">
        <v>1129.21</v>
      </c>
    </row>
    <row r="1070" ht="22.5" hidden="1" customHeight="1">
      <c r="AJ1070" s="20" t="s">
        <v>65</v>
      </c>
      <c r="AK1070" s="21">
        <v>4.0</v>
      </c>
      <c r="AL1070" s="20" t="s">
        <v>2</v>
      </c>
      <c r="AM1070" s="20" t="s">
        <v>57</v>
      </c>
      <c r="AN1070" s="21">
        <v>1156.0</v>
      </c>
      <c r="AO1070" s="21">
        <v>10.0</v>
      </c>
      <c r="AP1070" s="20">
        <v>80959.0</v>
      </c>
      <c r="AQ1070" s="20">
        <v>1130.52</v>
      </c>
    </row>
    <row r="1071" ht="22.5" hidden="1" customHeight="1">
      <c r="AJ1071" s="20" t="s">
        <v>65</v>
      </c>
      <c r="AK1071" s="21">
        <v>4.0</v>
      </c>
      <c r="AL1071" s="20" t="s">
        <v>2</v>
      </c>
      <c r="AM1071" s="20" t="s">
        <v>52</v>
      </c>
      <c r="AN1071" s="21">
        <v>4996.0</v>
      </c>
      <c r="AO1071" s="21">
        <v>10.0</v>
      </c>
      <c r="AP1071" s="20">
        <v>72379.0</v>
      </c>
      <c r="AQ1071" s="20">
        <v>1130.98</v>
      </c>
    </row>
    <row r="1072" ht="22.5" hidden="1" customHeight="1">
      <c r="AJ1072" s="20" t="s">
        <v>65</v>
      </c>
      <c r="AK1072" s="21">
        <v>4.0</v>
      </c>
      <c r="AL1072" s="20" t="s">
        <v>2</v>
      </c>
      <c r="AM1072" s="20" t="s">
        <v>46</v>
      </c>
      <c r="AN1072" s="21">
        <v>1412.0</v>
      </c>
      <c r="AO1072" s="21">
        <v>10.0</v>
      </c>
      <c r="AP1072" s="20">
        <v>73127.0</v>
      </c>
      <c r="AQ1072" s="20">
        <v>1131.45</v>
      </c>
    </row>
    <row r="1073" ht="22.5" hidden="1" customHeight="1">
      <c r="AJ1073" s="20" t="s">
        <v>65</v>
      </c>
      <c r="AK1073" s="21">
        <v>5.0</v>
      </c>
      <c r="AL1073" s="20" t="s">
        <v>4</v>
      </c>
      <c r="AM1073" s="20" t="s">
        <v>49</v>
      </c>
      <c r="AN1073" s="21">
        <v>66436.0</v>
      </c>
      <c r="AO1073" s="21">
        <v>10.0</v>
      </c>
      <c r="AP1073" s="20">
        <v>57208.0</v>
      </c>
      <c r="AQ1073" s="20">
        <v>1132.27</v>
      </c>
    </row>
    <row r="1074" ht="22.5" hidden="1" customHeight="1">
      <c r="AJ1074" s="20" t="s">
        <v>65</v>
      </c>
      <c r="AK1074" s="21">
        <v>4.0</v>
      </c>
      <c r="AL1074" s="20" t="s">
        <v>3</v>
      </c>
      <c r="AM1074" s="20" t="s">
        <v>46</v>
      </c>
      <c r="AN1074" s="21">
        <v>1156.0</v>
      </c>
      <c r="AO1074" s="21">
        <v>20.0</v>
      </c>
      <c r="AP1074" s="20">
        <v>73127.0</v>
      </c>
      <c r="AQ1074" s="20">
        <v>1132.89</v>
      </c>
    </row>
    <row r="1075" ht="22.5" hidden="1" customHeight="1">
      <c r="AJ1075" s="20" t="s">
        <v>65</v>
      </c>
      <c r="AK1075" s="21">
        <v>4.0</v>
      </c>
      <c r="AL1075" s="20" t="s">
        <v>5</v>
      </c>
      <c r="AM1075" s="20" t="s">
        <v>48</v>
      </c>
      <c r="AN1075" s="21">
        <v>1412.0</v>
      </c>
      <c r="AO1075" s="21">
        <v>20.0</v>
      </c>
      <c r="AP1075" s="20">
        <v>75248.0</v>
      </c>
      <c r="AQ1075" s="20">
        <v>1133.81</v>
      </c>
    </row>
    <row r="1076" ht="22.5" hidden="1" customHeight="1">
      <c r="AJ1076" s="20" t="s">
        <v>65</v>
      </c>
      <c r="AK1076" s="21">
        <v>4.0</v>
      </c>
      <c r="AL1076" s="20" t="s">
        <v>3</v>
      </c>
      <c r="AM1076" s="20" t="s">
        <v>56</v>
      </c>
      <c r="AN1076" s="21">
        <v>2948.0</v>
      </c>
      <c r="AO1076" s="21">
        <v>20.0</v>
      </c>
      <c r="AP1076" s="20">
        <v>76855.0</v>
      </c>
      <c r="AQ1076" s="20">
        <v>1133.99</v>
      </c>
    </row>
    <row r="1077" ht="22.5" hidden="1" customHeight="1">
      <c r="AJ1077" s="20" t="s">
        <v>65</v>
      </c>
      <c r="AK1077" s="21">
        <v>4.0</v>
      </c>
      <c r="AL1077" s="20" t="s">
        <v>3</v>
      </c>
      <c r="AM1077" s="20" t="s">
        <v>47</v>
      </c>
      <c r="AN1077" s="21">
        <v>1924.0</v>
      </c>
      <c r="AO1077" s="21">
        <v>20.0</v>
      </c>
      <c r="AP1077" s="20">
        <v>76359.0</v>
      </c>
      <c r="AQ1077" s="20">
        <v>1135.47</v>
      </c>
    </row>
    <row r="1078" ht="22.5" hidden="1" customHeight="1">
      <c r="AJ1078" s="20" t="s">
        <v>65</v>
      </c>
      <c r="AK1078" s="21">
        <v>4.0</v>
      </c>
      <c r="AL1078" s="20" t="s">
        <v>3</v>
      </c>
      <c r="AM1078" s="20" t="s">
        <v>56</v>
      </c>
      <c r="AN1078" s="21">
        <v>1412.0</v>
      </c>
      <c r="AO1078" s="21">
        <v>20.0</v>
      </c>
      <c r="AP1078" s="20">
        <v>76855.0</v>
      </c>
      <c r="AQ1078" s="20">
        <v>1135.78</v>
      </c>
    </row>
    <row r="1079" ht="22.5" hidden="1" customHeight="1">
      <c r="AJ1079" s="20" t="s">
        <v>65</v>
      </c>
      <c r="AK1079" s="21">
        <v>4.0</v>
      </c>
      <c r="AL1079" s="20" t="s">
        <v>5</v>
      </c>
      <c r="AM1079" s="20" t="s">
        <v>57</v>
      </c>
      <c r="AN1079" s="21">
        <v>9092.0</v>
      </c>
      <c r="AO1079" s="21">
        <v>20.0</v>
      </c>
      <c r="AP1079" s="20">
        <v>81174.0</v>
      </c>
      <c r="AQ1079" s="20">
        <v>1136.67</v>
      </c>
    </row>
    <row r="1080" ht="22.5" hidden="1" customHeight="1">
      <c r="AJ1080" s="20" t="s">
        <v>65</v>
      </c>
      <c r="AK1080" s="21">
        <v>5.0</v>
      </c>
      <c r="AL1080" s="20" t="s">
        <v>4</v>
      </c>
      <c r="AM1080" s="20" t="s">
        <v>50</v>
      </c>
      <c r="AN1080" s="21">
        <v>131972.0</v>
      </c>
      <c r="AO1080" s="21">
        <v>10.0</v>
      </c>
      <c r="AP1080" s="20">
        <v>53092.0</v>
      </c>
      <c r="AQ1080" s="20">
        <v>1136.84</v>
      </c>
    </row>
    <row r="1081" ht="22.5" hidden="1" customHeight="1">
      <c r="AJ1081" s="20" t="s">
        <v>65</v>
      </c>
      <c r="AK1081" s="21">
        <v>4.0</v>
      </c>
      <c r="AL1081" s="20" t="s">
        <v>2</v>
      </c>
      <c r="AM1081" s="20" t="s">
        <v>54</v>
      </c>
      <c r="AN1081" s="21">
        <v>1412.0</v>
      </c>
      <c r="AO1081" s="21">
        <v>10.0</v>
      </c>
      <c r="AP1081" s="20">
        <v>71707.0</v>
      </c>
      <c r="AQ1081" s="20">
        <v>1137.56</v>
      </c>
    </row>
    <row r="1082" ht="22.5" hidden="1" customHeight="1">
      <c r="AJ1082" s="20" t="s">
        <v>65</v>
      </c>
      <c r="AK1082" s="21">
        <v>4.0</v>
      </c>
      <c r="AL1082" s="20" t="s">
        <v>5</v>
      </c>
      <c r="AM1082" s="20" t="s">
        <v>46</v>
      </c>
      <c r="AN1082" s="21">
        <v>1412.0</v>
      </c>
      <c r="AO1082" s="21">
        <v>20.0</v>
      </c>
      <c r="AP1082" s="20">
        <v>73127.0</v>
      </c>
      <c r="AQ1082" s="20">
        <v>1138.52</v>
      </c>
    </row>
    <row r="1083" ht="22.5" hidden="1" customHeight="1">
      <c r="AJ1083" s="20" t="s">
        <v>65</v>
      </c>
      <c r="AK1083" s="21">
        <v>4.0</v>
      </c>
      <c r="AL1083" s="20" t="s">
        <v>5</v>
      </c>
      <c r="AM1083" s="20" t="s">
        <v>57</v>
      </c>
      <c r="AN1083" s="21">
        <v>33668.0</v>
      </c>
      <c r="AO1083" s="21">
        <v>20.0</v>
      </c>
      <c r="AP1083" s="20">
        <v>81804.0</v>
      </c>
      <c r="AQ1083" s="20">
        <v>1138.53</v>
      </c>
    </row>
    <row r="1084" ht="22.5" hidden="1" customHeight="1">
      <c r="AJ1084" s="20" t="s">
        <v>65</v>
      </c>
      <c r="AK1084" s="21">
        <v>4.0</v>
      </c>
      <c r="AL1084" s="20" t="s">
        <v>5</v>
      </c>
      <c r="AM1084" s="20" t="s">
        <v>56</v>
      </c>
      <c r="AN1084" s="21">
        <v>131972.0</v>
      </c>
      <c r="AO1084" s="21">
        <v>20.0</v>
      </c>
      <c r="AP1084" s="20">
        <v>76855.0</v>
      </c>
      <c r="AQ1084" s="20">
        <v>1138.56</v>
      </c>
    </row>
    <row r="1085" ht="22.5" hidden="1" customHeight="1">
      <c r="AJ1085" s="20" t="s">
        <v>65</v>
      </c>
      <c r="AK1085" s="21">
        <v>4.0</v>
      </c>
      <c r="AL1085" s="20" t="s">
        <v>5</v>
      </c>
      <c r="AM1085" s="20" t="s">
        <v>56</v>
      </c>
      <c r="AN1085" s="21">
        <v>4996.0</v>
      </c>
      <c r="AO1085" s="21">
        <v>20.0</v>
      </c>
      <c r="AP1085" s="20">
        <v>76867.0</v>
      </c>
      <c r="AQ1085" s="20">
        <v>1138.85</v>
      </c>
    </row>
    <row r="1086" ht="22.5" hidden="1" customHeight="1">
      <c r="AJ1086" s="20" t="s">
        <v>65</v>
      </c>
      <c r="AK1086" s="21">
        <v>4.0</v>
      </c>
      <c r="AL1086" s="20" t="s">
        <v>3</v>
      </c>
      <c r="AM1086" s="20" t="s">
        <v>57</v>
      </c>
      <c r="AN1086" s="21">
        <v>1924.0</v>
      </c>
      <c r="AO1086" s="21">
        <v>20.0</v>
      </c>
      <c r="AP1086" s="20">
        <v>81174.0</v>
      </c>
      <c r="AQ1086" s="20">
        <v>1139.21</v>
      </c>
    </row>
    <row r="1087" ht="22.5" hidden="1" customHeight="1">
      <c r="AJ1087" s="20" t="s">
        <v>65</v>
      </c>
      <c r="AK1087" s="21">
        <v>5.0</v>
      </c>
      <c r="AL1087" s="20" t="s">
        <v>4</v>
      </c>
      <c r="AM1087" s="20" t="s">
        <v>49</v>
      </c>
      <c r="AN1087" s="21">
        <v>17284.0</v>
      </c>
      <c r="AO1087" s="21">
        <v>10.0</v>
      </c>
      <c r="AP1087" s="20">
        <v>57208.0</v>
      </c>
      <c r="AQ1087" s="20">
        <v>1139.29</v>
      </c>
    </row>
    <row r="1088" ht="22.5" hidden="1" customHeight="1">
      <c r="AJ1088" s="20" t="s">
        <v>65</v>
      </c>
      <c r="AK1088" s="21">
        <v>5.0</v>
      </c>
      <c r="AL1088" s="20" t="s">
        <v>4</v>
      </c>
      <c r="AM1088" s="20" t="s">
        <v>49</v>
      </c>
      <c r="AN1088" s="21">
        <v>33668.0</v>
      </c>
      <c r="AO1088" s="21">
        <v>10.0</v>
      </c>
      <c r="AP1088" s="20">
        <v>57208.0</v>
      </c>
      <c r="AQ1088" s="20">
        <v>1139.35</v>
      </c>
    </row>
    <row r="1089" ht="22.5" hidden="1" customHeight="1">
      <c r="AJ1089" s="20" t="s">
        <v>65</v>
      </c>
      <c r="AK1089" s="21">
        <v>5.0</v>
      </c>
      <c r="AL1089" s="20" t="s">
        <v>4</v>
      </c>
      <c r="AM1089" s="20" t="s">
        <v>51</v>
      </c>
      <c r="AN1089" s="21">
        <v>1924.0</v>
      </c>
      <c r="AO1089" s="21">
        <v>10.0</v>
      </c>
      <c r="AP1089" s="20">
        <v>51727.0</v>
      </c>
      <c r="AQ1089" s="20">
        <v>1140.17</v>
      </c>
    </row>
    <row r="1090" ht="22.5" hidden="1" customHeight="1">
      <c r="AJ1090" s="20" t="s">
        <v>65</v>
      </c>
      <c r="AK1090" s="21">
        <v>4.0</v>
      </c>
      <c r="AL1090" s="20" t="s">
        <v>3</v>
      </c>
      <c r="AM1090" s="20" t="s">
        <v>55</v>
      </c>
      <c r="AN1090" s="21">
        <v>4996.0</v>
      </c>
      <c r="AO1090" s="21">
        <v>20.0</v>
      </c>
      <c r="AP1090" s="20">
        <v>77883.0</v>
      </c>
      <c r="AQ1090" s="20">
        <v>1141.09</v>
      </c>
    </row>
    <row r="1091" ht="22.5" hidden="1" customHeight="1">
      <c r="AJ1091" s="20" t="s">
        <v>65</v>
      </c>
      <c r="AK1091" s="21">
        <v>5.0</v>
      </c>
      <c r="AL1091" s="20" t="s">
        <v>3</v>
      </c>
      <c r="AM1091" s="20" t="s">
        <v>49</v>
      </c>
      <c r="AN1091" s="21">
        <v>1156.0</v>
      </c>
      <c r="AO1091" s="21">
        <v>20.0</v>
      </c>
      <c r="AP1091" s="20">
        <v>57208.0</v>
      </c>
      <c r="AQ1091" s="20">
        <v>1141.79</v>
      </c>
    </row>
    <row r="1092" ht="22.5" hidden="1" customHeight="1">
      <c r="AJ1092" s="20" t="s">
        <v>65</v>
      </c>
      <c r="AK1092" s="21">
        <v>4.0</v>
      </c>
      <c r="AL1092" s="20" t="s">
        <v>5</v>
      </c>
      <c r="AM1092" s="20" t="s">
        <v>52</v>
      </c>
      <c r="AN1092" s="21">
        <v>4996.0</v>
      </c>
      <c r="AO1092" s="21">
        <v>20.0</v>
      </c>
      <c r="AP1092" s="20">
        <v>72379.0</v>
      </c>
      <c r="AQ1092" s="20">
        <v>1141.91</v>
      </c>
    </row>
    <row r="1093" ht="22.5" hidden="1" customHeight="1">
      <c r="AJ1093" s="20" t="s">
        <v>65</v>
      </c>
      <c r="AK1093" s="21">
        <v>5.0</v>
      </c>
      <c r="AL1093" s="20" t="s">
        <v>4</v>
      </c>
      <c r="AM1093" s="20" t="s">
        <v>49</v>
      </c>
      <c r="AN1093" s="21">
        <v>131972.0</v>
      </c>
      <c r="AO1093" s="21">
        <v>10.0</v>
      </c>
      <c r="AP1093" s="20">
        <v>57208.0</v>
      </c>
      <c r="AQ1093" s="20">
        <v>1142.01</v>
      </c>
    </row>
    <row r="1094" ht="22.5" hidden="1" customHeight="1">
      <c r="AJ1094" s="20" t="s">
        <v>65</v>
      </c>
      <c r="AK1094" s="21">
        <v>4.0</v>
      </c>
      <c r="AL1094" s="20" t="s">
        <v>3</v>
      </c>
      <c r="AM1094" s="20" t="s">
        <v>46</v>
      </c>
      <c r="AN1094" s="21">
        <v>1412.0</v>
      </c>
      <c r="AO1094" s="21">
        <v>20.0</v>
      </c>
      <c r="AP1094" s="20">
        <v>73127.0</v>
      </c>
      <c r="AQ1094" s="20">
        <v>1142.07</v>
      </c>
    </row>
    <row r="1095" ht="22.5" hidden="1" customHeight="1">
      <c r="AJ1095" s="20" t="s">
        <v>65</v>
      </c>
      <c r="AK1095" s="21">
        <v>4.0</v>
      </c>
      <c r="AL1095" s="20" t="s">
        <v>5</v>
      </c>
      <c r="AM1095" s="20" t="s">
        <v>54</v>
      </c>
      <c r="AN1095" s="21">
        <v>9092.0</v>
      </c>
      <c r="AO1095" s="21">
        <v>20.0</v>
      </c>
      <c r="AP1095" s="20">
        <v>71712.0</v>
      </c>
      <c r="AQ1095" s="20">
        <v>1142.53</v>
      </c>
    </row>
    <row r="1096" ht="22.5" hidden="1" customHeight="1">
      <c r="AJ1096" s="20" t="s">
        <v>65</v>
      </c>
      <c r="AK1096" s="21">
        <v>4.0</v>
      </c>
      <c r="AL1096" s="20" t="s">
        <v>5</v>
      </c>
      <c r="AM1096" s="20" t="s">
        <v>53</v>
      </c>
      <c r="AN1096" s="21">
        <v>33668.0</v>
      </c>
      <c r="AO1096" s="21">
        <v>20.0</v>
      </c>
      <c r="AP1096" s="20">
        <v>64873.0</v>
      </c>
      <c r="AQ1096" s="20">
        <v>1142.59</v>
      </c>
    </row>
    <row r="1097" ht="22.5" hidden="1" customHeight="1">
      <c r="AJ1097" s="20" t="s">
        <v>65</v>
      </c>
      <c r="AK1097" s="21">
        <v>4.0</v>
      </c>
      <c r="AL1097" s="20" t="s">
        <v>5</v>
      </c>
      <c r="AM1097" s="20" t="s">
        <v>57</v>
      </c>
      <c r="AN1097" s="21">
        <v>2948.0</v>
      </c>
      <c r="AO1097" s="21">
        <v>20.0</v>
      </c>
      <c r="AP1097" s="20">
        <v>80959.0</v>
      </c>
      <c r="AQ1097" s="20">
        <v>1143.39</v>
      </c>
    </row>
    <row r="1098" ht="22.5" hidden="1" customHeight="1">
      <c r="AJ1098" s="20" t="s">
        <v>65</v>
      </c>
      <c r="AK1098" s="21">
        <v>4.0</v>
      </c>
      <c r="AL1098" s="20" t="s">
        <v>2</v>
      </c>
      <c r="AM1098" s="20" t="s">
        <v>48</v>
      </c>
      <c r="AN1098" s="21">
        <v>1412.0</v>
      </c>
      <c r="AO1098" s="21">
        <v>10.0</v>
      </c>
      <c r="AP1098" s="20">
        <v>75248.0</v>
      </c>
      <c r="AQ1098" s="20">
        <v>1143.43</v>
      </c>
    </row>
    <row r="1099" ht="22.5" hidden="1" customHeight="1">
      <c r="AJ1099" s="20" t="s">
        <v>65</v>
      </c>
      <c r="AK1099" s="21">
        <v>4.0</v>
      </c>
      <c r="AL1099" s="20" t="s">
        <v>5</v>
      </c>
      <c r="AM1099" s="20" t="s">
        <v>56</v>
      </c>
      <c r="AN1099" s="21">
        <v>1156.0</v>
      </c>
      <c r="AO1099" s="21">
        <v>20.0</v>
      </c>
      <c r="AP1099" s="20">
        <v>76855.0</v>
      </c>
      <c r="AQ1099" s="20">
        <v>1144.29</v>
      </c>
    </row>
    <row r="1100" ht="22.5" hidden="1" customHeight="1">
      <c r="AJ1100" s="20" t="s">
        <v>65</v>
      </c>
      <c r="AK1100" s="21">
        <v>5.0</v>
      </c>
      <c r="AL1100" s="20" t="s">
        <v>4</v>
      </c>
      <c r="AM1100" s="20" t="s">
        <v>51</v>
      </c>
      <c r="AN1100" s="21">
        <v>33668.0</v>
      </c>
      <c r="AO1100" s="21">
        <v>10.0</v>
      </c>
      <c r="AP1100" s="20">
        <v>51727.0</v>
      </c>
      <c r="AQ1100" s="20">
        <v>1144.34</v>
      </c>
    </row>
    <row r="1101" ht="22.5" hidden="1" customHeight="1">
      <c r="AJ1101" s="20" t="s">
        <v>65</v>
      </c>
      <c r="AK1101" s="21">
        <v>4.0</v>
      </c>
      <c r="AL1101" s="20" t="s">
        <v>3</v>
      </c>
      <c r="AM1101" s="20" t="s">
        <v>53</v>
      </c>
      <c r="AN1101" s="21">
        <v>1156.0</v>
      </c>
      <c r="AO1101" s="21">
        <v>20.0</v>
      </c>
      <c r="AP1101" s="20">
        <v>64718.0</v>
      </c>
      <c r="AQ1101" s="20">
        <v>1144.54</v>
      </c>
    </row>
    <row r="1102" ht="22.5" hidden="1" customHeight="1">
      <c r="AJ1102" s="20" t="s">
        <v>65</v>
      </c>
      <c r="AK1102" s="21">
        <v>4.0</v>
      </c>
      <c r="AL1102" s="20" t="s">
        <v>5</v>
      </c>
      <c r="AM1102" s="20" t="s">
        <v>46</v>
      </c>
      <c r="AN1102" s="21">
        <v>131972.0</v>
      </c>
      <c r="AO1102" s="21">
        <v>20.0</v>
      </c>
      <c r="AP1102" s="20">
        <v>73127.0</v>
      </c>
      <c r="AQ1102" s="20">
        <v>1145.15</v>
      </c>
    </row>
    <row r="1103" ht="22.5" hidden="1" customHeight="1">
      <c r="AJ1103" s="20" t="s">
        <v>65</v>
      </c>
      <c r="AK1103" s="21">
        <v>5.0</v>
      </c>
      <c r="AL1103" s="20" t="s">
        <v>4</v>
      </c>
      <c r="AM1103" s="20" t="s">
        <v>49</v>
      </c>
      <c r="AN1103" s="21">
        <v>2948.0</v>
      </c>
      <c r="AO1103" s="21">
        <v>10.0</v>
      </c>
      <c r="AP1103" s="20">
        <v>57208.0</v>
      </c>
      <c r="AQ1103" s="20">
        <v>1146.44</v>
      </c>
    </row>
    <row r="1104" ht="22.5" hidden="1" customHeight="1">
      <c r="AJ1104" s="20" t="s">
        <v>65</v>
      </c>
      <c r="AK1104" s="21">
        <v>5.0</v>
      </c>
      <c r="AL1104" s="20" t="s">
        <v>4</v>
      </c>
      <c r="AM1104" s="20" t="s">
        <v>49</v>
      </c>
      <c r="AN1104" s="21">
        <v>1924.0</v>
      </c>
      <c r="AO1104" s="21">
        <v>10.0</v>
      </c>
      <c r="AP1104" s="20">
        <v>57208.0</v>
      </c>
      <c r="AQ1104" s="20">
        <v>1147.97</v>
      </c>
    </row>
    <row r="1105" ht="22.5" hidden="1" customHeight="1">
      <c r="AJ1105" s="20" t="s">
        <v>65</v>
      </c>
      <c r="AK1105" s="21">
        <v>4.0</v>
      </c>
      <c r="AL1105" s="20" t="s">
        <v>2</v>
      </c>
      <c r="AM1105" s="20" t="s">
        <v>57</v>
      </c>
      <c r="AN1105" s="21">
        <v>1924.0</v>
      </c>
      <c r="AO1105" s="21">
        <v>10.0</v>
      </c>
      <c r="AP1105" s="20">
        <v>81174.0</v>
      </c>
      <c r="AQ1105" s="20">
        <v>1148.22</v>
      </c>
    </row>
    <row r="1106" ht="22.5" hidden="1" customHeight="1">
      <c r="AJ1106" s="20" t="s">
        <v>65</v>
      </c>
      <c r="AK1106" s="21">
        <v>4.0</v>
      </c>
      <c r="AL1106" s="20" t="s">
        <v>5</v>
      </c>
      <c r="AM1106" s="20" t="s">
        <v>54</v>
      </c>
      <c r="AN1106" s="21">
        <v>1412.0</v>
      </c>
      <c r="AO1106" s="21">
        <v>20.0</v>
      </c>
      <c r="AP1106" s="20">
        <v>71707.0</v>
      </c>
      <c r="AQ1106" s="20">
        <v>1148.64</v>
      </c>
    </row>
    <row r="1107" ht="22.5" hidden="1" customHeight="1">
      <c r="AJ1107" s="20" t="s">
        <v>65</v>
      </c>
      <c r="AK1107" s="21">
        <v>4.0</v>
      </c>
      <c r="AL1107" s="20" t="s">
        <v>4</v>
      </c>
      <c r="AM1107" s="20" t="s">
        <v>49</v>
      </c>
      <c r="AN1107" s="21">
        <v>131972.0</v>
      </c>
      <c r="AO1107" s="21">
        <v>10.0</v>
      </c>
      <c r="AP1107" s="20">
        <v>79757.0</v>
      </c>
      <c r="AQ1107" s="20">
        <v>1148.98</v>
      </c>
    </row>
    <row r="1108" ht="22.5" hidden="1" customHeight="1">
      <c r="AJ1108" s="20" t="s">
        <v>65</v>
      </c>
      <c r="AK1108" s="21">
        <v>4.0</v>
      </c>
      <c r="AL1108" s="20" t="s">
        <v>5</v>
      </c>
      <c r="AM1108" s="20" t="s">
        <v>46</v>
      </c>
      <c r="AN1108" s="21">
        <v>9092.0</v>
      </c>
      <c r="AO1108" s="21">
        <v>20.0</v>
      </c>
      <c r="AP1108" s="20">
        <v>73127.0</v>
      </c>
      <c r="AQ1108" s="20">
        <v>1149.84</v>
      </c>
    </row>
    <row r="1109" ht="22.5" hidden="1" customHeight="1">
      <c r="AJ1109" s="20" t="s">
        <v>65</v>
      </c>
      <c r="AK1109" s="21">
        <v>4.0</v>
      </c>
      <c r="AL1109" s="20" t="s">
        <v>4</v>
      </c>
      <c r="AM1109" s="20" t="s">
        <v>49</v>
      </c>
      <c r="AN1109" s="21">
        <v>1156.0</v>
      </c>
      <c r="AO1109" s="21">
        <v>10.0</v>
      </c>
      <c r="AP1109" s="20">
        <v>79757.0</v>
      </c>
      <c r="AQ1109" s="20">
        <v>1150.43</v>
      </c>
    </row>
    <row r="1110" ht="22.5" hidden="1" customHeight="1">
      <c r="AJ1110" s="20" t="s">
        <v>65</v>
      </c>
      <c r="AK1110" s="21">
        <v>4.0</v>
      </c>
      <c r="AL1110" s="20" t="s">
        <v>2</v>
      </c>
      <c r="AM1110" s="20" t="s">
        <v>56</v>
      </c>
      <c r="AN1110" s="21">
        <v>1156.0</v>
      </c>
      <c r="AO1110" s="21">
        <v>10.0</v>
      </c>
      <c r="AP1110" s="20">
        <v>76855.0</v>
      </c>
      <c r="AQ1110" s="20">
        <v>1150.59</v>
      </c>
    </row>
    <row r="1111" ht="22.5" hidden="1" customHeight="1">
      <c r="AJ1111" s="20" t="s">
        <v>65</v>
      </c>
      <c r="AK1111" s="21">
        <v>4.0</v>
      </c>
      <c r="AL1111" s="20" t="s">
        <v>2</v>
      </c>
      <c r="AM1111" s="20" t="s">
        <v>57</v>
      </c>
      <c r="AN1111" s="21">
        <v>2948.0</v>
      </c>
      <c r="AO1111" s="21">
        <v>10.0</v>
      </c>
      <c r="AP1111" s="20">
        <v>80959.0</v>
      </c>
      <c r="AQ1111" s="20">
        <v>1151.66</v>
      </c>
    </row>
    <row r="1112" ht="22.5" hidden="1" customHeight="1">
      <c r="AJ1112" s="20" t="s">
        <v>65</v>
      </c>
      <c r="AK1112" s="21">
        <v>5.0</v>
      </c>
      <c r="AL1112" s="20" t="s">
        <v>4</v>
      </c>
      <c r="AM1112" s="20" t="s">
        <v>50</v>
      </c>
      <c r="AN1112" s="21">
        <v>1924.0</v>
      </c>
      <c r="AO1112" s="21">
        <v>10.0</v>
      </c>
      <c r="AP1112" s="20">
        <v>53456.0</v>
      </c>
      <c r="AQ1112" s="20">
        <v>1151.87</v>
      </c>
    </row>
    <row r="1113" ht="22.5" hidden="1" customHeight="1">
      <c r="AJ1113" s="20" t="s">
        <v>65</v>
      </c>
      <c r="AK1113" s="21">
        <v>4.0</v>
      </c>
      <c r="AL1113" s="20" t="s">
        <v>3</v>
      </c>
      <c r="AM1113" s="20" t="s">
        <v>52</v>
      </c>
      <c r="AN1113" s="21">
        <v>4996.0</v>
      </c>
      <c r="AO1113" s="21">
        <v>20.0</v>
      </c>
      <c r="AP1113" s="20">
        <v>72379.0</v>
      </c>
      <c r="AQ1113" s="20">
        <v>1152.09</v>
      </c>
    </row>
    <row r="1114" ht="22.5" hidden="1" customHeight="1">
      <c r="AJ1114" s="20" t="s">
        <v>65</v>
      </c>
      <c r="AK1114" s="21">
        <v>4.0</v>
      </c>
      <c r="AL1114" s="20" t="s">
        <v>5</v>
      </c>
      <c r="AM1114" s="20" t="s">
        <v>47</v>
      </c>
      <c r="AN1114" s="21">
        <v>9092.0</v>
      </c>
      <c r="AO1114" s="21">
        <v>20.0</v>
      </c>
      <c r="AP1114" s="20">
        <v>76359.0</v>
      </c>
      <c r="AQ1114" s="20">
        <v>1152.32</v>
      </c>
    </row>
    <row r="1115" ht="22.5" hidden="1" customHeight="1">
      <c r="AJ1115" s="20" t="s">
        <v>65</v>
      </c>
      <c r="AK1115" s="21">
        <v>4.0</v>
      </c>
      <c r="AL1115" s="20" t="s">
        <v>3</v>
      </c>
      <c r="AM1115" s="20" t="s">
        <v>57</v>
      </c>
      <c r="AN1115" s="21">
        <v>2948.0</v>
      </c>
      <c r="AO1115" s="21">
        <v>20.0</v>
      </c>
      <c r="AP1115" s="20">
        <v>80959.0</v>
      </c>
      <c r="AQ1115" s="20">
        <v>1152.72</v>
      </c>
    </row>
    <row r="1116" ht="22.5" hidden="1" customHeight="1">
      <c r="AJ1116" s="20" t="s">
        <v>65</v>
      </c>
      <c r="AK1116" s="21">
        <v>5.0</v>
      </c>
      <c r="AL1116" s="20" t="s">
        <v>4</v>
      </c>
      <c r="AM1116" s="20" t="s">
        <v>51</v>
      </c>
      <c r="AN1116" s="21">
        <v>131972.0</v>
      </c>
      <c r="AO1116" s="21">
        <v>10.0</v>
      </c>
      <c r="AP1116" s="20">
        <v>51727.0</v>
      </c>
      <c r="AQ1116" s="20">
        <v>1153.23</v>
      </c>
    </row>
    <row r="1117" ht="22.5" hidden="1" customHeight="1">
      <c r="AJ1117" s="20" t="s">
        <v>65</v>
      </c>
      <c r="AK1117" s="21">
        <v>5.0</v>
      </c>
      <c r="AL1117" s="20" t="s">
        <v>4</v>
      </c>
      <c r="AM1117" s="20" t="s">
        <v>50</v>
      </c>
      <c r="AN1117" s="21">
        <v>9092.0</v>
      </c>
      <c r="AO1117" s="21">
        <v>10.0</v>
      </c>
      <c r="AP1117" s="20">
        <v>53307.0</v>
      </c>
      <c r="AQ1117" s="20">
        <v>1153.46</v>
      </c>
    </row>
    <row r="1118" ht="22.5" hidden="1" customHeight="1">
      <c r="AJ1118" s="20" t="s">
        <v>65</v>
      </c>
      <c r="AK1118" s="21">
        <v>5.0</v>
      </c>
      <c r="AL1118" s="20" t="s">
        <v>4</v>
      </c>
      <c r="AM1118" s="20" t="s">
        <v>50</v>
      </c>
      <c r="AN1118" s="21">
        <v>4996.0</v>
      </c>
      <c r="AO1118" s="21">
        <v>10.0</v>
      </c>
      <c r="AP1118" s="20">
        <v>53096.0</v>
      </c>
      <c r="AQ1118" s="20">
        <v>1153.8</v>
      </c>
    </row>
    <row r="1119" ht="22.5" hidden="1" customHeight="1">
      <c r="AJ1119" s="20" t="s">
        <v>65</v>
      </c>
      <c r="AK1119" s="21">
        <v>4.0</v>
      </c>
      <c r="AL1119" s="20" t="s">
        <v>3</v>
      </c>
      <c r="AM1119" s="20" t="s">
        <v>54</v>
      </c>
      <c r="AN1119" s="21">
        <v>1412.0</v>
      </c>
      <c r="AO1119" s="21">
        <v>20.0</v>
      </c>
      <c r="AP1119" s="20">
        <v>71707.0</v>
      </c>
      <c r="AQ1119" s="20">
        <v>1153.95</v>
      </c>
    </row>
    <row r="1120" ht="22.5" hidden="1" customHeight="1">
      <c r="AJ1120" s="20" t="s">
        <v>65</v>
      </c>
      <c r="AK1120" s="21">
        <v>4.0</v>
      </c>
      <c r="AL1120" s="20" t="s">
        <v>5</v>
      </c>
      <c r="AM1120" s="20" t="s">
        <v>47</v>
      </c>
      <c r="AN1120" s="21">
        <v>4996.0</v>
      </c>
      <c r="AO1120" s="21">
        <v>20.0</v>
      </c>
      <c r="AP1120" s="20">
        <v>76359.0</v>
      </c>
      <c r="AQ1120" s="20">
        <v>1154.64</v>
      </c>
    </row>
    <row r="1121" ht="22.5" hidden="1" customHeight="1">
      <c r="AJ1121" s="20" t="s">
        <v>65</v>
      </c>
      <c r="AK1121" s="21">
        <v>4.0</v>
      </c>
      <c r="AL1121" s="20" t="s">
        <v>3</v>
      </c>
      <c r="AM1121" s="20" t="s">
        <v>48</v>
      </c>
      <c r="AN1121" s="21">
        <v>1412.0</v>
      </c>
      <c r="AO1121" s="21">
        <v>20.0</v>
      </c>
      <c r="AP1121" s="20">
        <v>75248.0</v>
      </c>
      <c r="AQ1121" s="20">
        <v>1156.18</v>
      </c>
    </row>
    <row r="1122" ht="22.5" hidden="1" customHeight="1">
      <c r="AJ1122" s="20" t="s">
        <v>65</v>
      </c>
      <c r="AK1122" s="21">
        <v>4.0</v>
      </c>
      <c r="AL1122" s="20" t="s">
        <v>4</v>
      </c>
      <c r="AM1122" s="20" t="s">
        <v>51</v>
      </c>
      <c r="AN1122" s="21">
        <v>17284.0</v>
      </c>
      <c r="AO1122" s="21">
        <v>10.0</v>
      </c>
      <c r="AP1122" s="20">
        <v>72595.0</v>
      </c>
      <c r="AQ1122" s="20">
        <v>1158.05</v>
      </c>
    </row>
    <row r="1123" ht="22.5" hidden="1" customHeight="1">
      <c r="AJ1123" s="20" t="s">
        <v>65</v>
      </c>
      <c r="AK1123" s="21">
        <v>4.0</v>
      </c>
      <c r="AL1123" s="20" t="s">
        <v>4</v>
      </c>
      <c r="AM1123" s="20" t="s">
        <v>46</v>
      </c>
      <c r="AN1123" s="21">
        <v>1412.0</v>
      </c>
      <c r="AO1123" s="21">
        <v>10.0</v>
      </c>
      <c r="AP1123" s="20">
        <v>73127.0</v>
      </c>
      <c r="AQ1123" s="20">
        <v>1159.58</v>
      </c>
    </row>
    <row r="1124" ht="22.5" hidden="1" customHeight="1">
      <c r="AJ1124" s="20" t="s">
        <v>65</v>
      </c>
      <c r="AK1124" s="21">
        <v>4.0</v>
      </c>
      <c r="AL1124" s="20" t="s">
        <v>3</v>
      </c>
      <c r="AM1124" s="20" t="s">
        <v>56</v>
      </c>
      <c r="AN1124" s="21">
        <v>1924.0</v>
      </c>
      <c r="AO1124" s="21">
        <v>20.0</v>
      </c>
      <c r="AP1124" s="20">
        <v>76855.0</v>
      </c>
      <c r="AQ1124" s="20">
        <v>1159.85</v>
      </c>
    </row>
    <row r="1125" ht="22.5" hidden="1" customHeight="1">
      <c r="AJ1125" s="20" t="s">
        <v>65</v>
      </c>
      <c r="AK1125" s="21">
        <v>5.0</v>
      </c>
      <c r="AL1125" s="20" t="s">
        <v>4</v>
      </c>
      <c r="AM1125" s="20" t="s">
        <v>50</v>
      </c>
      <c r="AN1125" s="21">
        <v>17284.0</v>
      </c>
      <c r="AO1125" s="21">
        <v>10.0</v>
      </c>
      <c r="AP1125" s="20">
        <v>53140.0</v>
      </c>
      <c r="AQ1125" s="20">
        <v>1159.99</v>
      </c>
    </row>
    <row r="1126" ht="22.5" hidden="1" customHeight="1">
      <c r="AJ1126" s="20" t="s">
        <v>65</v>
      </c>
      <c r="AK1126" s="21">
        <v>4.0</v>
      </c>
      <c r="AL1126" s="20" t="s">
        <v>5</v>
      </c>
      <c r="AM1126" s="20" t="s">
        <v>53</v>
      </c>
      <c r="AN1126" s="21">
        <v>1412.0</v>
      </c>
      <c r="AO1126" s="21">
        <v>20.0</v>
      </c>
      <c r="AP1126" s="20">
        <v>64701.0</v>
      </c>
      <c r="AQ1126" s="20">
        <v>1160.61</v>
      </c>
    </row>
    <row r="1127" ht="22.5" hidden="1" customHeight="1">
      <c r="AJ1127" s="20" t="s">
        <v>65</v>
      </c>
      <c r="AK1127" s="21">
        <v>5.0</v>
      </c>
      <c r="AL1127" s="20" t="s">
        <v>4</v>
      </c>
      <c r="AM1127" s="20" t="s">
        <v>49</v>
      </c>
      <c r="AN1127" s="21">
        <v>1412.0</v>
      </c>
      <c r="AO1127" s="21">
        <v>10.0</v>
      </c>
      <c r="AP1127" s="20">
        <v>57208.0</v>
      </c>
      <c r="AQ1127" s="20">
        <v>1162.51</v>
      </c>
    </row>
    <row r="1128" ht="22.5" hidden="1" customHeight="1">
      <c r="AJ1128" s="20" t="s">
        <v>65</v>
      </c>
      <c r="AK1128" s="21">
        <v>4.0</v>
      </c>
      <c r="AL1128" s="20" t="s">
        <v>2</v>
      </c>
      <c r="AM1128" s="20" t="s">
        <v>53</v>
      </c>
      <c r="AN1128" s="21">
        <v>1412.0</v>
      </c>
      <c r="AO1128" s="21">
        <v>10.0</v>
      </c>
      <c r="AP1128" s="20">
        <v>64701.0</v>
      </c>
      <c r="AQ1128" s="20">
        <v>1163.95</v>
      </c>
    </row>
    <row r="1129" ht="22.5" hidden="1" customHeight="1">
      <c r="AJ1129" s="20" t="s">
        <v>65</v>
      </c>
      <c r="AK1129" s="21">
        <v>4.0</v>
      </c>
      <c r="AL1129" s="20" t="s">
        <v>5</v>
      </c>
      <c r="AM1129" s="20" t="s">
        <v>53</v>
      </c>
      <c r="AN1129" s="21">
        <v>2948.0</v>
      </c>
      <c r="AO1129" s="21">
        <v>20.0</v>
      </c>
      <c r="AP1129" s="20">
        <v>64698.0</v>
      </c>
      <c r="AQ1129" s="20">
        <v>1165.71</v>
      </c>
    </row>
    <row r="1130" ht="22.5" hidden="1" customHeight="1">
      <c r="AJ1130" s="20" t="s">
        <v>65</v>
      </c>
      <c r="AK1130" s="21">
        <v>4.0</v>
      </c>
      <c r="AL1130" s="20" t="s">
        <v>5</v>
      </c>
      <c r="AM1130" s="20" t="s">
        <v>53</v>
      </c>
      <c r="AN1130" s="21">
        <v>17284.0</v>
      </c>
      <c r="AO1130" s="21">
        <v>20.0</v>
      </c>
      <c r="AP1130" s="20">
        <v>64718.0</v>
      </c>
      <c r="AQ1130" s="20">
        <v>1165.98</v>
      </c>
    </row>
    <row r="1131" ht="22.5" hidden="1" customHeight="1">
      <c r="AJ1131" s="20" t="s">
        <v>65</v>
      </c>
      <c r="AK1131" s="21">
        <v>4.0</v>
      </c>
      <c r="AL1131" s="20" t="s">
        <v>4</v>
      </c>
      <c r="AM1131" s="20" t="s">
        <v>50</v>
      </c>
      <c r="AN1131" s="21">
        <v>1924.0</v>
      </c>
      <c r="AO1131" s="21">
        <v>10.0</v>
      </c>
      <c r="AP1131" s="20">
        <v>76425.0</v>
      </c>
      <c r="AQ1131" s="20">
        <v>1166.06</v>
      </c>
    </row>
    <row r="1132" ht="22.5" hidden="1" customHeight="1">
      <c r="AJ1132" s="20" t="s">
        <v>65</v>
      </c>
      <c r="AK1132" s="21">
        <v>4.0</v>
      </c>
      <c r="AL1132" s="20" t="s">
        <v>4</v>
      </c>
      <c r="AM1132" s="20" t="s">
        <v>51</v>
      </c>
      <c r="AN1132" s="21">
        <v>9092.0</v>
      </c>
      <c r="AO1132" s="21">
        <v>10.0</v>
      </c>
      <c r="AP1132" s="20">
        <v>72499.0</v>
      </c>
      <c r="AQ1132" s="20">
        <v>1166.59</v>
      </c>
    </row>
    <row r="1133" ht="22.5" hidden="1" customHeight="1">
      <c r="AJ1133" s="20" t="s">
        <v>65</v>
      </c>
      <c r="AK1133" s="21">
        <v>5.0</v>
      </c>
      <c r="AL1133" s="20" t="s">
        <v>5</v>
      </c>
      <c r="AM1133" s="20" t="s">
        <v>49</v>
      </c>
      <c r="AN1133" s="21">
        <v>33668.0</v>
      </c>
      <c r="AO1133" s="21">
        <v>20.0</v>
      </c>
      <c r="AP1133" s="20">
        <v>57208.0</v>
      </c>
      <c r="AQ1133" s="20">
        <v>1166.72</v>
      </c>
    </row>
    <row r="1134" ht="22.5" hidden="1" customHeight="1">
      <c r="AJ1134" s="20" t="s">
        <v>65</v>
      </c>
      <c r="AK1134" s="21">
        <v>4.0</v>
      </c>
      <c r="AL1134" s="20" t="s">
        <v>4</v>
      </c>
      <c r="AM1134" s="20" t="s">
        <v>51</v>
      </c>
      <c r="AN1134" s="21">
        <v>131972.0</v>
      </c>
      <c r="AO1134" s="21">
        <v>10.0</v>
      </c>
      <c r="AP1134" s="20">
        <v>72499.0</v>
      </c>
      <c r="AQ1134" s="20">
        <v>1167.06</v>
      </c>
    </row>
    <row r="1135" ht="22.5" hidden="1" customHeight="1">
      <c r="AJ1135" s="20" t="s">
        <v>65</v>
      </c>
      <c r="AK1135" s="21">
        <v>5.0</v>
      </c>
      <c r="AL1135" s="20" t="s">
        <v>4</v>
      </c>
      <c r="AM1135" s="20" t="s">
        <v>49</v>
      </c>
      <c r="AN1135" s="21">
        <v>4996.0</v>
      </c>
      <c r="AO1135" s="21">
        <v>10.0</v>
      </c>
      <c r="AP1135" s="20">
        <v>57208.0</v>
      </c>
      <c r="AQ1135" s="20">
        <v>1167.42</v>
      </c>
    </row>
    <row r="1136" ht="22.5" hidden="1" customHeight="1">
      <c r="AJ1136" s="20" t="s">
        <v>65</v>
      </c>
      <c r="AK1136" s="21">
        <v>5.0</v>
      </c>
      <c r="AL1136" s="20" t="s">
        <v>4</v>
      </c>
      <c r="AM1136" s="20" t="s">
        <v>51</v>
      </c>
      <c r="AN1136" s="21">
        <v>2948.0</v>
      </c>
      <c r="AO1136" s="21">
        <v>10.0</v>
      </c>
      <c r="AP1136" s="20">
        <v>51727.0</v>
      </c>
      <c r="AQ1136" s="20">
        <v>1167.77</v>
      </c>
    </row>
    <row r="1137" ht="22.5" hidden="1" customHeight="1">
      <c r="AJ1137" s="20" t="s">
        <v>65</v>
      </c>
      <c r="AK1137" s="21">
        <v>5.0</v>
      </c>
      <c r="AL1137" s="20" t="s">
        <v>4</v>
      </c>
      <c r="AM1137" s="20" t="s">
        <v>51</v>
      </c>
      <c r="AN1137" s="21">
        <v>1156.0</v>
      </c>
      <c r="AO1137" s="21">
        <v>10.0</v>
      </c>
      <c r="AP1137" s="20">
        <v>51727.0</v>
      </c>
      <c r="AQ1137" s="20">
        <v>1169.28</v>
      </c>
    </row>
    <row r="1138" ht="22.5" hidden="1" customHeight="1">
      <c r="AJ1138" s="20" t="s">
        <v>65</v>
      </c>
      <c r="AK1138" s="21">
        <v>4.0</v>
      </c>
      <c r="AL1138" s="20" t="s">
        <v>2</v>
      </c>
      <c r="AM1138" s="20" t="s">
        <v>47</v>
      </c>
      <c r="AN1138" s="21">
        <v>4996.0</v>
      </c>
      <c r="AO1138" s="21">
        <v>10.0</v>
      </c>
      <c r="AP1138" s="20">
        <v>76359.0</v>
      </c>
      <c r="AQ1138" s="20">
        <v>1170.52</v>
      </c>
    </row>
    <row r="1139" ht="22.5" hidden="1" customHeight="1">
      <c r="AJ1139" s="20" t="s">
        <v>65</v>
      </c>
      <c r="AK1139" s="21">
        <v>4.0</v>
      </c>
      <c r="AL1139" s="20" t="s">
        <v>3</v>
      </c>
      <c r="AM1139" s="20" t="s">
        <v>53</v>
      </c>
      <c r="AN1139" s="21">
        <v>1924.0</v>
      </c>
      <c r="AO1139" s="21">
        <v>20.0</v>
      </c>
      <c r="AP1139" s="20">
        <v>64698.0</v>
      </c>
      <c r="AQ1139" s="20">
        <v>1171.03</v>
      </c>
    </row>
    <row r="1140" ht="22.5" hidden="1" customHeight="1">
      <c r="AJ1140" s="20" t="s">
        <v>65</v>
      </c>
      <c r="AK1140" s="21">
        <v>5.0</v>
      </c>
      <c r="AL1140" s="20" t="s">
        <v>3</v>
      </c>
      <c r="AM1140" s="20" t="s">
        <v>51</v>
      </c>
      <c r="AN1140" s="21">
        <v>1924.0</v>
      </c>
      <c r="AO1140" s="21">
        <v>20.0</v>
      </c>
      <c r="AP1140" s="20">
        <v>51727.0</v>
      </c>
      <c r="AQ1140" s="20">
        <v>1171.11</v>
      </c>
    </row>
    <row r="1141" ht="22.5" hidden="1" customHeight="1">
      <c r="AJ1141" s="20" t="s">
        <v>65</v>
      </c>
      <c r="AK1141" s="21">
        <v>5.0</v>
      </c>
      <c r="AL1141" s="20" t="s">
        <v>5</v>
      </c>
      <c r="AM1141" s="20" t="s">
        <v>49</v>
      </c>
      <c r="AN1141" s="21">
        <v>131972.0</v>
      </c>
      <c r="AO1141" s="21">
        <v>20.0</v>
      </c>
      <c r="AP1141" s="20">
        <v>57208.0</v>
      </c>
      <c r="AQ1141" s="20">
        <v>1171.29</v>
      </c>
    </row>
    <row r="1142" ht="22.5" hidden="1" customHeight="1">
      <c r="AJ1142" s="20" t="s">
        <v>65</v>
      </c>
      <c r="AK1142" s="21">
        <v>4.0</v>
      </c>
      <c r="AL1142" s="20" t="s">
        <v>4</v>
      </c>
      <c r="AM1142" s="20" t="s">
        <v>49</v>
      </c>
      <c r="AN1142" s="21">
        <v>17284.0</v>
      </c>
      <c r="AO1142" s="21">
        <v>10.0</v>
      </c>
      <c r="AP1142" s="20">
        <v>79757.0</v>
      </c>
      <c r="AQ1142" s="20">
        <v>1172.0</v>
      </c>
    </row>
    <row r="1143" ht="22.5" hidden="1" customHeight="1">
      <c r="AJ1143" s="20" t="s">
        <v>65</v>
      </c>
      <c r="AK1143" s="21">
        <v>5.0</v>
      </c>
      <c r="AL1143" s="20" t="s">
        <v>4</v>
      </c>
      <c r="AM1143" s="20" t="s">
        <v>51</v>
      </c>
      <c r="AN1143" s="21">
        <v>66436.0</v>
      </c>
      <c r="AO1143" s="21">
        <v>10.0</v>
      </c>
      <c r="AP1143" s="20">
        <v>51727.0</v>
      </c>
      <c r="AQ1143" s="20">
        <v>1172.13</v>
      </c>
    </row>
    <row r="1144" ht="22.5" hidden="1" customHeight="1">
      <c r="AJ1144" s="20" t="s">
        <v>65</v>
      </c>
      <c r="AK1144" s="21">
        <v>5.0</v>
      </c>
      <c r="AL1144" s="20" t="s">
        <v>5</v>
      </c>
      <c r="AM1144" s="20" t="s">
        <v>49</v>
      </c>
      <c r="AN1144" s="21">
        <v>66436.0</v>
      </c>
      <c r="AO1144" s="21">
        <v>20.0</v>
      </c>
      <c r="AP1144" s="20">
        <v>57208.0</v>
      </c>
      <c r="AQ1144" s="20">
        <v>1172.15</v>
      </c>
    </row>
    <row r="1145" ht="22.5" hidden="1" customHeight="1">
      <c r="AJ1145" s="20" t="s">
        <v>65</v>
      </c>
      <c r="AK1145" s="21">
        <v>5.0</v>
      </c>
      <c r="AL1145" s="20" t="s">
        <v>5</v>
      </c>
      <c r="AM1145" s="20" t="s">
        <v>49</v>
      </c>
      <c r="AN1145" s="21">
        <v>1924.0</v>
      </c>
      <c r="AO1145" s="21">
        <v>20.0</v>
      </c>
      <c r="AP1145" s="20">
        <v>57208.0</v>
      </c>
      <c r="AQ1145" s="20">
        <v>1172.58</v>
      </c>
    </row>
    <row r="1146" ht="22.5" hidden="1" customHeight="1">
      <c r="AJ1146" s="20" t="s">
        <v>65</v>
      </c>
      <c r="AK1146" s="21">
        <v>4.0</v>
      </c>
      <c r="AL1146" s="20" t="s">
        <v>2</v>
      </c>
      <c r="AM1146" s="20" t="s">
        <v>54</v>
      </c>
      <c r="AN1146" s="21">
        <v>4996.0</v>
      </c>
      <c r="AO1146" s="21">
        <v>10.0</v>
      </c>
      <c r="AP1146" s="20">
        <v>71707.0</v>
      </c>
      <c r="AQ1146" s="20">
        <v>1173.46</v>
      </c>
    </row>
    <row r="1147" ht="22.5" hidden="1" customHeight="1">
      <c r="AJ1147" s="20" t="s">
        <v>65</v>
      </c>
      <c r="AK1147" s="21">
        <v>4.0</v>
      </c>
      <c r="AL1147" s="20" t="s">
        <v>3</v>
      </c>
      <c r="AM1147" s="20" t="s">
        <v>47</v>
      </c>
      <c r="AN1147" s="21">
        <v>4996.0</v>
      </c>
      <c r="AO1147" s="21">
        <v>20.0</v>
      </c>
      <c r="AP1147" s="20">
        <v>76359.0</v>
      </c>
      <c r="AQ1147" s="20">
        <v>1173.46</v>
      </c>
    </row>
    <row r="1148" ht="22.5" hidden="1" customHeight="1">
      <c r="AJ1148" s="20" t="s">
        <v>65</v>
      </c>
      <c r="AK1148" s="21">
        <v>5.0</v>
      </c>
      <c r="AL1148" s="20" t="s">
        <v>4</v>
      </c>
      <c r="AM1148" s="20" t="s">
        <v>48</v>
      </c>
      <c r="AN1148" s="21">
        <v>4996.0</v>
      </c>
      <c r="AO1148" s="21">
        <v>10.0</v>
      </c>
      <c r="AP1148" s="20">
        <v>54114.0</v>
      </c>
      <c r="AQ1148" s="20">
        <v>1173.49</v>
      </c>
    </row>
    <row r="1149" ht="22.5" hidden="1" customHeight="1">
      <c r="AJ1149" s="20" t="s">
        <v>65</v>
      </c>
      <c r="AK1149" s="21">
        <v>4.0</v>
      </c>
      <c r="AL1149" s="20" t="s">
        <v>4</v>
      </c>
      <c r="AM1149" s="20" t="s">
        <v>51</v>
      </c>
      <c r="AN1149" s="21">
        <v>66436.0</v>
      </c>
      <c r="AO1149" s="21">
        <v>10.0</v>
      </c>
      <c r="AP1149" s="20">
        <v>72499.0</v>
      </c>
      <c r="AQ1149" s="20">
        <v>1173.81</v>
      </c>
    </row>
    <row r="1150" ht="22.5" hidden="1" customHeight="1">
      <c r="AJ1150" s="20" t="s">
        <v>65</v>
      </c>
      <c r="AK1150" s="21">
        <v>5.0</v>
      </c>
      <c r="AL1150" s="20" t="s">
        <v>5</v>
      </c>
      <c r="AM1150" s="20" t="s">
        <v>50</v>
      </c>
      <c r="AN1150" s="21">
        <v>1924.0</v>
      </c>
      <c r="AO1150" s="21">
        <v>20.0</v>
      </c>
      <c r="AP1150" s="20">
        <v>53456.0</v>
      </c>
      <c r="AQ1150" s="20">
        <v>1174.5</v>
      </c>
    </row>
    <row r="1151" ht="22.5" hidden="1" customHeight="1">
      <c r="AJ1151" s="20" t="s">
        <v>65</v>
      </c>
      <c r="AK1151" s="21">
        <v>4.0</v>
      </c>
      <c r="AL1151" s="20" t="s">
        <v>5</v>
      </c>
      <c r="AM1151" s="20" t="s">
        <v>54</v>
      </c>
      <c r="AN1151" s="21">
        <v>4996.0</v>
      </c>
      <c r="AO1151" s="21">
        <v>20.0</v>
      </c>
      <c r="AP1151" s="20">
        <v>71707.0</v>
      </c>
      <c r="AQ1151" s="20">
        <v>1175.18</v>
      </c>
    </row>
    <row r="1152" ht="22.5" hidden="1" customHeight="1">
      <c r="AJ1152" s="20" t="s">
        <v>65</v>
      </c>
      <c r="AK1152" s="21">
        <v>5.0</v>
      </c>
      <c r="AL1152" s="20" t="s">
        <v>5</v>
      </c>
      <c r="AM1152" s="20" t="s">
        <v>50</v>
      </c>
      <c r="AN1152" s="21">
        <v>9092.0</v>
      </c>
      <c r="AO1152" s="21">
        <v>20.0</v>
      </c>
      <c r="AP1152" s="20">
        <v>53307.0</v>
      </c>
      <c r="AQ1152" s="20">
        <v>1176.29</v>
      </c>
    </row>
    <row r="1153" ht="22.5" hidden="1" customHeight="1">
      <c r="AJ1153" s="20" t="s">
        <v>65</v>
      </c>
      <c r="AK1153" s="21">
        <v>5.0</v>
      </c>
      <c r="AL1153" s="20" t="s">
        <v>5</v>
      </c>
      <c r="AM1153" s="20" t="s">
        <v>51</v>
      </c>
      <c r="AN1153" s="21">
        <v>1924.0</v>
      </c>
      <c r="AO1153" s="21">
        <v>20.0</v>
      </c>
      <c r="AP1153" s="20">
        <v>51727.0</v>
      </c>
      <c r="AQ1153" s="20">
        <v>1176.57</v>
      </c>
    </row>
    <row r="1154" ht="22.5" hidden="1" customHeight="1">
      <c r="AJ1154" s="20" t="s">
        <v>65</v>
      </c>
      <c r="AK1154" s="21">
        <v>5.0</v>
      </c>
      <c r="AL1154" s="20" t="s">
        <v>4</v>
      </c>
      <c r="AM1154" s="20" t="s">
        <v>50</v>
      </c>
      <c r="AN1154" s="21">
        <v>1156.0</v>
      </c>
      <c r="AO1154" s="21">
        <v>10.0</v>
      </c>
      <c r="AP1154" s="20">
        <v>53136.0</v>
      </c>
      <c r="AQ1154" s="20">
        <v>1176.59</v>
      </c>
    </row>
    <row r="1155" ht="22.5" hidden="1" customHeight="1">
      <c r="AJ1155" s="20" t="s">
        <v>65</v>
      </c>
      <c r="AK1155" s="21">
        <v>4.0</v>
      </c>
      <c r="AL1155" s="20" t="s">
        <v>5</v>
      </c>
      <c r="AM1155" s="20" t="s">
        <v>54</v>
      </c>
      <c r="AN1155" s="21">
        <v>66436.0</v>
      </c>
      <c r="AO1155" s="21">
        <v>20.0</v>
      </c>
      <c r="AP1155" s="20">
        <v>71707.0</v>
      </c>
      <c r="AQ1155" s="20">
        <v>1177.63</v>
      </c>
    </row>
    <row r="1156" ht="22.5" hidden="1" customHeight="1">
      <c r="AJ1156" s="20" t="s">
        <v>65</v>
      </c>
      <c r="AK1156" s="21">
        <v>5.0</v>
      </c>
      <c r="AL1156" s="20" t="s">
        <v>5</v>
      </c>
      <c r="AM1156" s="20" t="s">
        <v>49</v>
      </c>
      <c r="AN1156" s="21">
        <v>2948.0</v>
      </c>
      <c r="AO1156" s="21">
        <v>20.0</v>
      </c>
      <c r="AP1156" s="20">
        <v>57208.0</v>
      </c>
      <c r="AQ1156" s="20">
        <v>1179.05</v>
      </c>
    </row>
    <row r="1157" ht="22.5" hidden="1" customHeight="1">
      <c r="AJ1157" s="20" t="s">
        <v>65</v>
      </c>
      <c r="AK1157" s="21">
        <v>4.0</v>
      </c>
      <c r="AL1157" s="20" t="s">
        <v>4</v>
      </c>
      <c r="AM1157" s="20" t="s">
        <v>50</v>
      </c>
      <c r="AN1157" s="21">
        <v>9092.0</v>
      </c>
      <c r="AO1157" s="21">
        <v>10.0</v>
      </c>
      <c r="AP1157" s="20">
        <v>76425.0</v>
      </c>
      <c r="AQ1157" s="20">
        <v>1179.51</v>
      </c>
    </row>
    <row r="1158" ht="22.5" hidden="1" customHeight="1">
      <c r="AJ1158" s="20" t="s">
        <v>65</v>
      </c>
      <c r="AK1158" s="21">
        <v>5.0</v>
      </c>
      <c r="AL1158" s="20" t="s">
        <v>5</v>
      </c>
      <c r="AM1158" s="20" t="s">
        <v>51</v>
      </c>
      <c r="AN1158" s="21">
        <v>33668.0</v>
      </c>
      <c r="AO1158" s="21">
        <v>20.0</v>
      </c>
      <c r="AP1158" s="20">
        <v>51727.0</v>
      </c>
      <c r="AQ1158" s="20">
        <v>1180.14</v>
      </c>
    </row>
    <row r="1159" ht="22.5" hidden="1" customHeight="1">
      <c r="AJ1159" s="20" t="s">
        <v>65</v>
      </c>
      <c r="AK1159" s="21">
        <v>4.0</v>
      </c>
      <c r="AL1159" s="20" t="s">
        <v>5</v>
      </c>
      <c r="AM1159" s="20" t="s">
        <v>57</v>
      </c>
      <c r="AN1159" s="21">
        <v>4996.0</v>
      </c>
      <c r="AO1159" s="21">
        <v>20.0</v>
      </c>
      <c r="AP1159" s="20">
        <v>80959.0</v>
      </c>
      <c r="AQ1159" s="20">
        <v>1180.4</v>
      </c>
    </row>
    <row r="1160" ht="22.5" hidden="1" customHeight="1">
      <c r="AJ1160" s="20" t="s">
        <v>65</v>
      </c>
      <c r="AK1160" s="21">
        <v>4.0</v>
      </c>
      <c r="AL1160" s="20" t="s">
        <v>3</v>
      </c>
      <c r="AM1160" s="20" t="s">
        <v>56</v>
      </c>
      <c r="AN1160" s="21">
        <v>1156.0</v>
      </c>
      <c r="AO1160" s="21">
        <v>20.0</v>
      </c>
      <c r="AP1160" s="20">
        <v>76855.0</v>
      </c>
      <c r="AQ1160" s="20">
        <v>1181.18</v>
      </c>
    </row>
    <row r="1161" ht="22.5" hidden="1" customHeight="1">
      <c r="AJ1161" s="20" t="s">
        <v>65</v>
      </c>
      <c r="AK1161" s="21">
        <v>5.0</v>
      </c>
      <c r="AL1161" s="20" t="s">
        <v>5</v>
      </c>
      <c r="AM1161" s="20" t="s">
        <v>49</v>
      </c>
      <c r="AN1161" s="21">
        <v>17284.0</v>
      </c>
      <c r="AO1161" s="21">
        <v>20.0</v>
      </c>
      <c r="AP1161" s="20">
        <v>57208.0</v>
      </c>
      <c r="AQ1161" s="20">
        <v>1181.19</v>
      </c>
    </row>
    <row r="1162" ht="22.5" hidden="1" customHeight="1">
      <c r="AJ1162" s="20" t="s">
        <v>65</v>
      </c>
      <c r="AK1162" s="21">
        <v>5.0</v>
      </c>
      <c r="AL1162" s="20" t="s">
        <v>5</v>
      </c>
      <c r="AM1162" s="20" t="s">
        <v>50</v>
      </c>
      <c r="AN1162" s="21">
        <v>131972.0</v>
      </c>
      <c r="AO1162" s="21">
        <v>20.0</v>
      </c>
      <c r="AP1162" s="20">
        <v>53092.0</v>
      </c>
      <c r="AQ1162" s="20">
        <v>1181.4</v>
      </c>
    </row>
    <row r="1163" ht="22.5" hidden="1" customHeight="1">
      <c r="AJ1163" s="20" t="s">
        <v>65</v>
      </c>
      <c r="AK1163" s="21">
        <v>5.0</v>
      </c>
      <c r="AL1163" s="20" t="s">
        <v>5</v>
      </c>
      <c r="AM1163" s="20" t="s">
        <v>50</v>
      </c>
      <c r="AN1163" s="21">
        <v>17284.0</v>
      </c>
      <c r="AO1163" s="21">
        <v>20.0</v>
      </c>
      <c r="AP1163" s="20">
        <v>53140.0</v>
      </c>
      <c r="AQ1163" s="20">
        <v>1181.88</v>
      </c>
    </row>
    <row r="1164" ht="22.5" hidden="1" customHeight="1">
      <c r="AJ1164" s="20" t="s">
        <v>65</v>
      </c>
      <c r="AK1164" s="21">
        <v>5.0</v>
      </c>
      <c r="AL1164" s="20" t="s">
        <v>5</v>
      </c>
      <c r="AM1164" s="20" t="s">
        <v>51</v>
      </c>
      <c r="AN1164" s="21">
        <v>131972.0</v>
      </c>
      <c r="AO1164" s="21">
        <v>20.0</v>
      </c>
      <c r="AP1164" s="20">
        <v>51727.0</v>
      </c>
      <c r="AQ1164" s="20">
        <v>1183.67</v>
      </c>
    </row>
    <row r="1165" ht="22.5" hidden="1" customHeight="1">
      <c r="AJ1165" s="20" t="s">
        <v>65</v>
      </c>
      <c r="AK1165" s="21">
        <v>5.0</v>
      </c>
      <c r="AL1165" s="20" t="s">
        <v>4</v>
      </c>
      <c r="AM1165" s="20" t="s">
        <v>50</v>
      </c>
      <c r="AN1165" s="21">
        <v>33668.0</v>
      </c>
      <c r="AO1165" s="21">
        <v>10.0</v>
      </c>
      <c r="AP1165" s="20">
        <v>53390.0</v>
      </c>
      <c r="AQ1165" s="20">
        <v>1184.02</v>
      </c>
    </row>
    <row r="1166" ht="22.5" hidden="1" customHeight="1">
      <c r="AJ1166" s="20" t="s">
        <v>65</v>
      </c>
      <c r="AK1166" s="21">
        <v>5.0</v>
      </c>
      <c r="AL1166" s="20" t="s">
        <v>5</v>
      </c>
      <c r="AM1166" s="20" t="s">
        <v>50</v>
      </c>
      <c r="AN1166" s="21">
        <v>4996.0</v>
      </c>
      <c r="AO1166" s="21">
        <v>20.0</v>
      </c>
      <c r="AP1166" s="20">
        <v>53096.0</v>
      </c>
      <c r="AQ1166" s="20">
        <v>1184.54</v>
      </c>
    </row>
    <row r="1167" ht="22.5" hidden="1" customHeight="1">
      <c r="AJ1167" s="20" t="s">
        <v>65</v>
      </c>
      <c r="AK1167" s="21">
        <v>4.0</v>
      </c>
      <c r="AL1167" s="20" t="s">
        <v>4</v>
      </c>
      <c r="AM1167" s="20" t="s">
        <v>50</v>
      </c>
      <c r="AN1167" s="21">
        <v>17284.0</v>
      </c>
      <c r="AO1167" s="21">
        <v>10.0</v>
      </c>
      <c r="AP1167" s="20">
        <v>76695.0</v>
      </c>
      <c r="AQ1167" s="20">
        <v>1185.36</v>
      </c>
    </row>
    <row r="1168" ht="22.5" hidden="1" customHeight="1">
      <c r="AJ1168" s="20" t="s">
        <v>65</v>
      </c>
      <c r="AK1168" s="21">
        <v>5.0</v>
      </c>
      <c r="AL1168" s="20" t="s">
        <v>4</v>
      </c>
      <c r="AM1168" s="20" t="s">
        <v>48</v>
      </c>
      <c r="AN1168" s="21">
        <v>33668.0</v>
      </c>
      <c r="AO1168" s="21">
        <v>10.0</v>
      </c>
      <c r="AP1168" s="20">
        <v>54084.0</v>
      </c>
      <c r="AQ1168" s="20">
        <v>1185.68</v>
      </c>
    </row>
    <row r="1169" ht="22.5" hidden="1" customHeight="1">
      <c r="AJ1169" s="20" t="s">
        <v>65</v>
      </c>
      <c r="AK1169" s="21">
        <v>5.0</v>
      </c>
      <c r="AL1169" s="20" t="s">
        <v>4</v>
      </c>
      <c r="AM1169" s="20" t="s">
        <v>47</v>
      </c>
      <c r="AN1169" s="21">
        <v>131972.0</v>
      </c>
      <c r="AO1169" s="21">
        <v>10.0</v>
      </c>
      <c r="AP1169" s="20">
        <v>55091.0</v>
      </c>
      <c r="AQ1169" s="20">
        <v>1187.01</v>
      </c>
    </row>
    <row r="1170" ht="22.5" hidden="1" customHeight="1">
      <c r="AJ1170" s="20" t="s">
        <v>65</v>
      </c>
      <c r="AK1170" s="21">
        <v>4.0</v>
      </c>
      <c r="AL1170" s="20" t="s">
        <v>3</v>
      </c>
      <c r="AM1170" s="20" t="s">
        <v>57</v>
      </c>
      <c r="AN1170" s="21">
        <v>4996.0</v>
      </c>
      <c r="AO1170" s="21">
        <v>20.0</v>
      </c>
      <c r="AP1170" s="20">
        <v>80959.0</v>
      </c>
      <c r="AQ1170" s="20">
        <v>1188.47</v>
      </c>
    </row>
    <row r="1171" ht="22.5" hidden="1" customHeight="1">
      <c r="AJ1171" s="20" t="s">
        <v>65</v>
      </c>
      <c r="AK1171" s="21">
        <v>4.0</v>
      </c>
      <c r="AL1171" s="20" t="s">
        <v>4</v>
      </c>
      <c r="AM1171" s="20" t="s">
        <v>50</v>
      </c>
      <c r="AN1171" s="21">
        <v>131972.0</v>
      </c>
      <c r="AO1171" s="21">
        <v>10.0</v>
      </c>
      <c r="AP1171" s="20">
        <v>76425.0</v>
      </c>
      <c r="AQ1171" s="20">
        <v>1189.14</v>
      </c>
    </row>
    <row r="1172" ht="22.5" hidden="1" customHeight="1">
      <c r="AJ1172" s="20" t="s">
        <v>65</v>
      </c>
      <c r="AK1172" s="21">
        <v>5.0</v>
      </c>
      <c r="AL1172" s="20" t="s">
        <v>4</v>
      </c>
      <c r="AM1172" s="20" t="s">
        <v>48</v>
      </c>
      <c r="AN1172" s="21">
        <v>66436.0</v>
      </c>
      <c r="AO1172" s="21">
        <v>10.0</v>
      </c>
      <c r="AP1172" s="20">
        <v>54114.0</v>
      </c>
      <c r="AQ1172" s="20">
        <v>1189.16</v>
      </c>
    </row>
    <row r="1173" ht="22.5" hidden="1" customHeight="1">
      <c r="AJ1173" s="20" t="s">
        <v>65</v>
      </c>
      <c r="AK1173" s="21">
        <v>4.0</v>
      </c>
      <c r="AL1173" s="20" t="s">
        <v>4</v>
      </c>
      <c r="AM1173" s="20" t="s">
        <v>50</v>
      </c>
      <c r="AN1173" s="21">
        <v>66436.0</v>
      </c>
      <c r="AO1173" s="21">
        <v>10.0</v>
      </c>
      <c r="AP1173" s="20">
        <v>76429.0</v>
      </c>
      <c r="AQ1173" s="20">
        <v>1189.66</v>
      </c>
    </row>
    <row r="1174" ht="22.5" hidden="1" customHeight="1">
      <c r="AJ1174" s="20" t="s">
        <v>65</v>
      </c>
      <c r="AK1174" s="21">
        <v>4.0</v>
      </c>
      <c r="AL1174" s="20" t="s">
        <v>4</v>
      </c>
      <c r="AM1174" s="20" t="s">
        <v>50</v>
      </c>
      <c r="AN1174" s="21">
        <v>2948.0</v>
      </c>
      <c r="AO1174" s="21">
        <v>10.0</v>
      </c>
      <c r="AP1174" s="20">
        <v>76425.0</v>
      </c>
      <c r="AQ1174" s="20">
        <v>1190.55</v>
      </c>
    </row>
    <row r="1175" ht="22.5" hidden="1" customHeight="1">
      <c r="AJ1175" s="20" t="s">
        <v>65</v>
      </c>
      <c r="AK1175" s="21">
        <v>5.0</v>
      </c>
      <c r="AL1175" s="20" t="s">
        <v>4</v>
      </c>
      <c r="AM1175" s="20" t="s">
        <v>56</v>
      </c>
      <c r="AN1175" s="21">
        <v>33668.0</v>
      </c>
      <c r="AO1175" s="21">
        <v>10.0</v>
      </c>
      <c r="AP1175" s="20">
        <v>53728.0</v>
      </c>
      <c r="AQ1175" s="20">
        <v>1191.35</v>
      </c>
    </row>
    <row r="1176" ht="22.5" hidden="1" customHeight="1">
      <c r="AJ1176" s="20" t="s">
        <v>65</v>
      </c>
      <c r="AK1176" s="21">
        <v>4.0</v>
      </c>
      <c r="AL1176" s="20" t="s">
        <v>2</v>
      </c>
      <c r="AM1176" s="20" t="s">
        <v>48</v>
      </c>
      <c r="AN1176" s="21">
        <v>4996.0</v>
      </c>
      <c r="AO1176" s="21">
        <v>10.0</v>
      </c>
      <c r="AP1176" s="20">
        <v>75248.0</v>
      </c>
      <c r="AQ1176" s="20">
        <v>1191.63</v>
      </c>
    </row>
    <row r="1177" ht="22.5" hidden="1" customHeight="1">
      <c r="AJ1177" s="20" t="s">
        <v>65</v>
      </c>
      <c r="AK1177" s="21">
        <v>4.0</v>
      </c>
      <c r="AL1177" s="20" t="s">
        <v>2</v>
      </c>
      <c r="AM1177" s="20" t="s">
        <v>57</v>
      </c>
      <c r="AN1177" s="21">
        <v>4996.0</v>
      </c>
      <c r="AO1177" s="21">
        <v>10.0</v>
      </c>
      <c r="AP1177" s="20">
        <v>80959.0</v>
      </c>
      <c r="AQ1177" s="20">
        <v>1192.0</v>
      </c>
    </row>
    <row r="1178" ht="22.5" hidden="1" customHeight="1">
      <c r="AJ1178" s="20" t="s">
        <v>65</v>
      </c>
      <c r="AK1178" s="21">
        <v>5.0</v>
      </c>
      <c r="AL1178" s="20" t="s">
        <v>2</v>
      </c>
      <c r="AM1178" s="20" t="s">
        <v>50</v>
      </c>
      <c r="AN1178" s="21">
        <v>1924.0</v>
      </c>
      <c r="AO1178" s="21">
        <v>10.0</v>
      </c>
      <c r="AP1178" s="20">
        <v>53456.0</v>
      </c>
      <c r="AQ1178" s="20">
        <v>1192.63</v>
      </c>
    </row>
    <row r="1179" ht="22.5" hidden="1" customHeight="1">
      <c r="AJ1179" s="20" t="s">
        <v>65</v>
      </c>
      <c r="AK1179" s="21">
        <v>5.0</v>
      </c>
      <c r="AL1179" s="20" t="s">
        <v>4</v>
      </c>
      <c r="AM1179" s="20" t="s">
        <v>46</v>
      </c>
      <c r="AN1179" s="21">
        <v>66436.0</v>
      </c>
      <c r="AO1179" s="21">
        <v>10.0</v>
      </c>
      <c r="AP1179" s="20">
        <v>52932.0</v>
      </c>
      <c r="AQ1179" s="20">
        <v>1192.87</v>
      </c>
    </row>
    <row r="1180" ht="22.5" hidden="1" customHeight="1">
      <c r="AJ1180" s="20" t="s">
        <v>65</v>
      </c>
      <c r="AK1180" s="21">
        <v>5.0</v>
      </c>
      <c r="AL1180" s="20" t="s">
        <v>3</v>
      </c>
      <c r="AM1180" s="20" t="s">
        <v>49</v>
      </c>
      <c r="AN1180" s="21">
        <v>1924.0</v>
      </c>
      <c r="AO1180" s="21">
        <v>20.0</v>
      </c>
      <c r="AP1180" s="20">
        <v>57208.0</v>
      </c>
      <c r="AQ1180" s="20">
        <v>1193.17</v>
      </c>
    </row>
    <row r="1181" ht="22.5" hidden="1" customHeight="1">
      <c r="AJ1181" s="20" t="s">
        <v>65</v>
      </c>
      <c r="AK1181" s="21">
        <v>5.0</v>
      </c>
      <c r="AL1181" s="20" t="s">
        <v>5</v>
      </c>
      <c r="AM1181" s="20" t="s">
        <v>49</v>
      </c>
      <c r="AN1181" s="21">
        <v>1412.0</v>
      </c>
      <c r="AO1181" s="21">
        <v>20.0</v>
      </c>
      <c r="AP1181" s="20">
        <v>57208.0</v>
      </c>
      <c r="AQ1181" s="20">
        <v>1193.2</v>
      </c>
    </row>
    <row r="1182" ht="22.5" hidden="1" customHeight="1">
      <c r="AJ1182" s="20" t="s">
        <v>65</v>
      </c>
      <c r="AK1182" s="21">
        <v>5.0</v>
      </c>
      <c r="AL1182" s="20" t="s">
        <v>4</v>
      </c>
      <c r="AM1182" s="20" t="s">
        <v>49</v>
      </c>
      <c r="AN1182" s="21">
        <v>9092.0</v>
      </c>
      <c r="AO1182" s="21">
        <v>10.0</v>
      </c>
      <c r="AP1182" s="20">
        <v>57208.0</v>
      </c>
      <c r="AQ1182" s="20">
        <v>1193.81</v>
      </c>
    </row>
    <row r="1183" ht="22.5" hidden="1" customHeight="1">
      <c r="AJ1183" s="20" t="s">
        <v>65</v>
      </c>
      <c r="AK1183" s="21">
        <v>4.0</v>
      </c>
      <c r="AL1183" s="20" t="s">
        <v>4</v>
      </c>
      <c r="AM1183" s="20" t="s">
        <v>49</v>
      </c>
      <c r="AN1183" s="21">
        <v>1924.0</v>
      </c>
      <c r="AO1183" s="21">
        <v>10.0</v>
      </c>
      <c r="AP1183" s="20">
        <v>79757.0</v>
      </c>
      <c r="AQ1183" s="20">
        <v>1194.82</v>
      </c>
    </row>
    <row r="1184" ht="22.5" hidden="1" customHeight="1">
      <c r="AJ1184" s="20" t="s">
        <v>65</v>
      </c>
      <c r="AK1184" s="21">
        <v>5.0</v>
      </c>
      <c r="AL1184" s="20" t="s">
        <v>3</v>
      </c>
      <c r="AM1184" s="20" t="s">
        <v>50</v>
      </c>
      <c r="AN1184" s="21">
        <v>1924.0</v>
      </c>
      <c r="AO1184" s="21">
        <v>20.0</v>
      </c>
      <c r="AP1184" s="20">
        <v>53456.0</v>
      </c>
      <c r="AQ1184" s="20">
        <v>1195.06</v>
      </c>
    </row>
    <row r="1185" ht="22.5" hidden="1" customHeight="1">
      <c r="AJ1185" s="20" t="s">
        <v>65</v>
      </c>
      <c r="AK1185" s="21">
        <v>4.0</v>
      </c>
      <c r="AL1185" s="20" t="s">
        <v>4</v>
      </c>
      <c r="AM1185" s="20" t="s">
        <v>55</v>
      </c>
      <c r="AN1185" s="21">
        <v>66436.0</v>
      </c>
      <c r="AO1185" s="21">
        <v>10.0</v>
      </c>
      <c r="AP1185" s="20">
        <v>77883.0</v>
      </c>
      <c r="AQ1185" s="20">
        <v>1196.07</v>
      </c>
    </row>
    <row r="1186" ht="22.5" hidden="1" customHeight="1">
      <c r="AJ1186" s="20" t="s">
        <v>65</v>
      </c>
      <c r="AK1186" s="21">
        <v>5.0</v>
      </c>
      <c r="AL1186" s="20" t="s">
        <v>3</v>
      </c>
      <c r="AM1186" s="20" t="s">
        <v>49</v>
      </c>
      <c r="AN1186" s="21">
        <v>2948.0</v>
      </c>
      <c r="AO1186" s="21">
        <v>20.0</v>
      </c>
      <c r="AP1186" s="20">
        <v>57208.0</v>
      </c>
      <c r="AQ1186" s="20">
        <v>1196.97</v>
      </c>
    </row>
    <row r="1187" ht="22.5" hidden="1" customHeight="1">
      <c r="AJ1187" s="20" t="s">
        <v>65</v>
      </c>
      <c r="AK1187" s="21">
        <v>5.0</v>
      </c>
      <c r="AL1187" s="20" t="s">
        <v>4</v>
      </c>
      <c r="AM1187" s="20" t="s">
        <v>52</v>
      </c>
      <c r="AN1187" s="21">
        <v>9092.0</v>
      </c>
      <c r="AO1187" s="21">
        <v>10.0</v>
      </c>
      <c r="AP1187" s="20">
        <v>50654.0</v>
      </c>
      <c r="AQ1187" s="20">
        <v>1197.4</v>
      </c>
    </row>
    <row r="1188" ht="22.5" hidden="1" customHeight="1">
      <c r="AJ1188" s="20" t="s">
        <v>65</v>
      </c>
      <c r="AK1188" s="21">
        <v>5.0</v>
      </c>
      <c r="AL1188" s="20" t="s">
        <v>4</v>
      </c>
      <c r="AM1188" s="20" t="s">
        <v>46</v>
      </c>
      <c r="AN1188" s="21">
        <v>1924.0</v>
      </c>
      <c r="AO1188" s="21">
        <v>10.0</v>
      </c>
      <c r="AP1188" s="20">
        <v>52932.0</v>
      </c>
      <c r="AQ1188" s="20">
        <v>1197.98</v>
      </c>
    </row>
    <row r="1189" ht="22.5" hidden="1" customHeight="1">
      <c r="AJ1189" s="20" t="s">
        <v>65</v>
      </c>
      <c r="AK1189" s="21">
        <v>4.0</v>
      </c>
      <c r="AL1189" s="20" t="s">
        <v>4</v>
      </c>
      <c r="AM1189" s="20" t="s">
        <v>49</v>
      </c>
      <c r="AN1189" s="21">
        <v>1412.0</v>
      </c>
      <c r="AO1189" s="21">
        <v>10.0</v>
      </c>
      <c r="AP1189" s="20">
        <v>79757.0</v>
      </c>
      <c r="AQ1189" s="20">
        <v>1198.17</v>
      </c>
    </row>
    <row r="1190" ht="22.5" hidden="1" customHeight="1">
      <c r="AJ1190" s="20" t="s">
        <v>65</v>
      </c>
      <c r="AK1190" s="21">
        <v>5.0</v>
      </c>
      <c r="AL1190" s="20" t="s">
        <v>4</v>
      </c>
      <c r="AM1190" s="20" t="s">
        <v>51</v>
      </c>
      <c r="AN1190" s="21">
        <v>9092.0</v>
      </c>
      <c r="AO1190" s="21">
        <v>10.0</v>
      </c>
      <c r="AP1190" s="20">
        <v>52078.0</v>
      </c>
      <c r="AQ1190" s="20">
        <v>1198.59</v>
      </c>
    </row>
    <row r="1191" ht="22.5" hidden="1" customHeight="1">
      <c r="AJ1191" s="20" t="s">
        <v>65</v>
      </c>
      <c r="AK1191" s="21">
        <v>5.0</v>
      </c>
      <c r="AL1191" s="20" t="s">
        <v>2</v>
      </c>
      <c r="AM1191" s="20" t="s">
        <v>49</v>
      </c>
      <c r="AN1191" s="21">
        <v>1412.0</v>
      </c>
      <c r="AO1191" s="21">
        <v>10.0</v>
      </c>
      <c r="AP1191" s="20">
        <v>57208.0</v>
      </c>
      <c r="AQ1191" s="20">
        <v>1198.69</v>
      </c>
    </row>
    <row r="1192" ht="22.5" hidden="1" customHeight="1">
      <c r="AJ1192" s="20" t="s">
        <v>65</v>
      </c>
      <c r="AK1192" s="21">
        <v>5.0</v>
      </c>
      <c r="AL1192" s="20" t="s">
        <v>4</v>
      </c>
      <c r="AM1192" s="20" t="s">
        <v>56</v>
      </c>
      <c r="AN1192" s="21">
        <v>2948.0</v>
      </c>
      <c r="AO1192" s="21">
        <v>10.0</v>
      </c>
      <c r="AP1192" s="20">
        <v>53728.0</v>
      </c>
      <c r="AQ1192" s="20">
        <v>1198.73</v>
      </c>
    </row>
    <row r="1193" ht="22.5" hidden="1" customHeight="1">
      <c r="AJ1193" s="20" t="s">
        <v>65</v>
      </c>
      <c r="AK1193" s="21">
        <v>4.0</v>
      </c>
      <c r="AL1193" s="20" t="s">
        <v>4</v>
      </c>
      <c r="AM1193" s="20" t="s">
        <v>49</v>
      </c>
      <c r="AN1193" s="21">
        <v>66436.0</v>
      </c>
      <c r="AO1193" s="21">
        <v>10.0</v>
      </c>
      <c r="AP1193" s="20">
        <v>79757.0</v>
      </c>
      <c r="AQ1193" s="20">
        <v>1198.81</v>
      </c>
    </row>
    <row r="1194" ht="22.5" hidden="1" customHeight="1">
      <c r="AJ1194" s="20" t="s">
        <v>65</v>
      </c>
      <c r="AK1194" s="21">
        <v>4.0</v>
      </c>
      <c r="AL1194" s="20" t="s">
        <v>4</v>
      </c>
      <c r="AM1194" s="20" t="s">
        <v>49</v>
      </c>
      <c r="AN1194" s="21">
        <v>4996.0</v>
      </c>
      <c r="AO1194" s="21">
        <v>10.0</v>
      </c>
      <c r="AP1194" s="20">
        <v>79785.0</v>
      </c>
      <c r="AQ1194" s="20">
        <v>1199.22</v>
      </c>
    </row>
    <row r="1195" ht="22.5" hidden="1" customHeight="1">
      <c r="AJ1195" s="20" t="s">
        <v>65</v>
      </c>
      <c r="AK1195" s="21">
        <v>5.0</v>
      </c>
      <c r="AL1195" s="20" t="s">
        <v>3</v>
      </c>
      <c r="AM1195" s="20" t="s">
        <v>50</v>
      </c>
      <c r="AN1195" s="21">
        <v>4996.0</v>
      </c>
      <c r="AO1195" s="21">
        <v>20.0</v>
      </c>
      <c r="AP1195" s="20">
        <v>53096.0</v>
      </c>
      <c r="AQ1195" s="20">
        <v>1199.46</v>
      </c>
    </row>
    <row r="1196" ht="22.5" hidden="1" customHeight="1">
      <c r="AJ1196" s="20" t="s">
        <v>65</v>
      </c>
      <c r="AK1196" s="21">
        <v>5.0</v>
      </c>
      <c r="AL1196" s="20" t="s">
        <v>5</v>
      </c>
      <c r="AM1196" s="20" t="s">
        <v>50</v>
      </c>
      <c r="AN1196" s="21">
        <v>1156.0</v>
      </c>
      <c r="AO1196" s="21">
        <v>20.0</v>
      </c>
      <c r="AP1196" s="20">
        <v>53136.0</v>
      </c>
      <c r="AQ1196" s="20">
        <v>1199.97</v>
      </c>
    </row>
    <row r="1197" ht="22.5" hidden="1" customHeight="1">
      <c r="AJ1197" s="20" t="s">
        <v>65</v>
      </c>
      <c r="AK1197" s="21">
        <v>4.0</v>
      </c>
      <c r="AL1197" s="20" t="s">
        <v>3</v>
      </c>
      <c r="AM1197" s="20" t="s">
        <v>54</v>
      </c>
      <c r="AN1197" s="21">
        <v>4996.0</v>
      </c>
      <c r="AO1197" s="21">
        <v>20.0</v>
      </c>
      <c r="AP1197" s="20">
        <v>71707.0</v>
      </c>
      <c r="AQ1197" s="20">
        <v>1200.11</v>
      </c>
    </row>
    <row r="1198" ht="22.5" hidden="1" customHeight="1">
      <c r="AJ1198" s="20" t="s">
        <v>65</v>
      </c>
      <c r="AK1198" s="21">
        <v>4.0</v>
      </c>
      <c r="AL1198" s="20" t="s">
        <v>5</v>
      </c>
      <c r="AM1198" s="20" t="s">
        <v>53</v>
      </c>
      <c r="AN1198" s="21">
        <v>9092.0</v>
      </c>
      <c r="AO1198" s="21">
        <v>20.0</v>
      </c>
      <c r="AP1198" s="20">
        <v>64698.0</v>
      </c>
      <c r="AQ1198" s="20">
        <v>1200.54</v>
      </c>
    </row>
    <row r="1199" ht="22.5" hidden="1" customHeight="1">
      <c r="AJ1199" s="20" t="s">
        <v>65</v>
      </c>
      <c r="AK1199" s="21">
        <v>5.0</v>
      </c>
      <c r="AL1199" s="20" t="s">
        <v>4</v>
      </c>
      <c r="AM1199" s="20" t="s">
        <v>46</v>
      </c>
      <c r="AN1199" s="21">
        <v>4996.0</v>
      </c>
      <c r="AO1199" s="21">
        <v>10.0</v>
      </c>
      <c r="AP1199" s="20">
        <v>52932.0</v>
      </c>
      <c r="AQ1199" s="20">
        <v>1200.75</v>
      </c>
    </row>
    <row r="1200" ht="22.5" hidden="1" customHeight="1">
      <c r="AJ1200" s="20" t="s">
        <v>65</v>
      </c>
      <c r="AK1200" s="21">
        <v>5.0</v>
      </c>
      <c r="AL1200" s="20" t="s">
        <v>4</v>
      </c>
      <c r="AM1200" s="20" t="s">
        <v>48</v>
      </c>
      <c r="AN1200" s="21">
        <v>9092.0</v>
      </c>
      <c r="AO1200" s="21">
        <v>10.0</v>
      </c>
      <c r="AP1200" s="20">
        <v>54114.0</v>
      </c>
      <c r="AQ1200" s="20">
        <v>1201.05</v>
      </c>
    </row>
    <row r="1201" ht="22.5" hidden="1" customHeight="1">
      <c r="AJ1201" s="20" t="s">
        <v>65</v>
      </c>
      <c r="AK1201" s="21">
        <v>5.0</v>
      </c>
      <c r="AL1201" s="20" t="s">
        <v>2</v>
      </c>
      <c r="AM1201" s="20" t="s">
        <v>49</v>
      </c>
      <c r="AN1201" s="21">
        <v>1924.0</v>
      </c>
      <c r="AO1201" s="21">
        <v>10.0</v>
      </c>
      <c r="AP1201" s="20">
        <v>57208.0</v>
      </c>
      <c r="AQ1201" s="20">
        <v>1201.14</v>
      </c>
    </row>
    <row r="1202" ht="22.5" hidden="1" customHeight="1">
      <c r="AJ1202" s="20" t="s">
        <v>65</v>
      </c>
      <c r="AK1202" s="21">
        <v>4.0</v>
      </c>
      <c r="AL1202" s="20" t="s">
        <v>4</v>
      </c>
      <c r="AM1202" s="20" t="s">
        <v>49</v>
      </c>
      <c r="AN1202" s="21">
        <v>2948.0</v>
      </c>
      <c r="AO1202" s="21">
        <v>10.0</v>
      </c>
      <c r="AP1202" s="20">
        <v>79757.0</v>
      </c>
      <c r="AQ1202" s="20">
        <v>1201.42</v>
      </c>
    </row>
    <row r="1203" ht="22.5" hidden="1" customHeight="1">
      <c r="AJ1203" s="20" t="s">
        <v>65</v>
      </c>
      <c r="AK1203" s="21">
        <v>5.0</v>
      </c>
      <c r="AL1203" s="20" t="s">
        <v>4</v>
      </c>
      <c r="AM1203" s="20" t="s">
        <v>46</v>
      </c>
      <c r="AN1203" s="21">
        <v>33668.0</v>
      </c>
      <c r="AO1203" s="21">
        <v>10.0</v>
      </c>
      <c r="AP1203" s="20">
        <v>52932.0</v>
      </c>
      <c r="AQ1203" s="20">
        <v>1201.44</v>
      </c>
    </row>
    <row r="1204" ht="22.5" hidden="1" customHeight="1">
      <c r="AJ1204" s="20" t="s">
        <v>65</v>
      </c>
      <c r="AK1204" s="21">
        <v>5.0</v>
      </c>
      <c r="AL1204" s="20" t="s">
        <v>4</v>
      </c>
      <c r="AM1204" s="20" t="s">
        <v>47</v>
      </c>
      <c r="AN1204" s="21">
        <v>33668.0</v>
      </c>
      <c r="AO1204" s="21">
        <v>10.0</v>
      </c>
      <c r="AP1204" s="20">
        <v>54844.0</v>
      </c>
      <c r="AQ1204" s="20">
        <v>1202.55</v>
      </c>
    </row>
    <row r="1205" ht="22.5" hidden="1" customHeight="1">
      <c r="AJ1205" s="20" t="s">
        <v>65</v>
      </c>
      <c r="AK1205" s="21">
        <v>5.0</v>
      </c>
      <c r="AL1205" s="20" t="s">
        <v>5</v>
      </c>
      <c r="AM1205" s="20" t="s">
        <v>50</v>
      </c>
      <c r="AN1205" s="21">
        <v>33668.0</v>
      </c>
      <c r="AO1205" s="21">
        <v>20.0</v>
      </c>
      <c r="AP1205" s="20">
        <v>53390.0</v>
      </c>
      <c r="AQ1205" s="20">
        <v>1203.89</v>
      </c>
    </row>
    <row r="1206" ht="22.5" hidden="1" customHeight="1">
      <c r="AJ1206" s="20" t="s">
        <v>65</v>
      </c>
      <c r="AK1206" s="21">
        <v>4.0</v>
      </c>
      <c r="AL1206" s="20" t="s">
        <v>3</v>
      </c>
      <c r="AM1206" s="20" t="s">
        <v>53</v>
      </c>
      <c r="AN1206" s="21">
        <v>2948.0</v>
      </c>
      <c r="AO1206" s="21">
        <v>20.0</v>
      </c>
      <c r="AP1206" s="20">
        <v>64698.0</v>
      </c>
      <c r="AQ1206" s="20">
        <v>1204.03</v>
      </c>
    </row>
    <row r="1207" ht="22.5" hidden="1" customHeight="1">
      <c r="AJ1207" s="20" t="s">
        <v>65</v>
      </c>
      <c r="AK1207" s="21">
        <v>5.0</v>
      </c>
      <c r="AL1207" s="20" t="s">
        <v>5</v>
      </c>
      <c r="AM1207" s="20" t="s">
        <v>49</v>
      </c>
      <c r="AN1207" s="21">
        <v>4996.0</v>
      </c>
      <c r="AO1207" s="21">
        <v>20.0</v>
      </c>
      <c r="AP1207" s="20">
        <v>57208.0</v>
      </c>
      <c r="AQ1207" s="20">
        <v>1204.43</v>
      </c>
    </row>
    <row r="1208" ht="22.5" hidden="1" customHeight="1">
      <c r="AJ1208" s="20" t="s">
        <v>65</v>
      </c>
      <c r="AK1208" s="21">
        <v>5.0</v>
      </c>
      <c r="AL1208" s="20" t="s">
        <v>5</v>
      </c>
      <c r="AM1208" s="20" t="s">
        <v>51</v>
      </c>
      <c r="AN1208" s="21">
        <v>2948.0</v>
      </c>
      <c r="AO1208" s="21">
        <v>20.0</v>
      </c>
      <c r="AP1208" s="20">
        <v>51727.0</v>
      </c>
      <c r="AQ1208" s="20">
        <v>1204.67</v>
      </c>
    </row>
    <row r="1209" ht="22.5" hidden="1" customHeight="1">
      <c r="AJ1209" s="20" t="s">
        <v>65</v>
      </c>
      <c r="AK1209" s="21">
        <v>4.0</v>
      </c>
      <c r="AL1209" s="20" t="s">
        <v>4</v>
      </c>
      <c r="AM1209" s="20" t="s">
        <v>50</v>
      </c>
      <c r="AN1209" s="21">
        <v>1412.0</v>
      </c>
      <c r="AO1209" s="21">
        <v>10.0</v>
      </c>
      <c r="AP1209" s="20">
        <v>76425.0</v>
      </c>
      <c r="AQ1209" s="20">
        <v>1205.67</v>
      </c>
    </row>
    <row r="1210" ht="22.5" hidden="1" customHeight="1">
      <c r="AJ1210" s="20" t="s">
        <v>65</v>
      </c>
      <c r="AK1210" s="21">
        <v>5.0</v>
      </c>
      <c r="AL1210" s="20" t="s">
        <v>2</v>
      </c>
      <c r="AM1210" s="20" t="s">
        <v>49</v>
      </c>
      <c r="AN1210" s="21">
        <v>2948.0</v>
      </c>
      <c r="AO1210" s="21">
        <v>10.0</v>
      </c>
      <c r="AP1210" s="20">
        <v>57208.0</v>
      </c>
      <c r="AQ1210" s="20">
        <v>1205.72</v>
      </c>
    </row>
    <row r="1211" ht="22.5" hidden="1" customHeight="1">
      <c r="AJ1211" s="20" t="s">
        <v>65</v>
      </c>
      <c r="AK1211" s="21">
        <v>5.0</v>
      </c>
      <c r="AL1211" s="20" t="s">
        <v>4</v>
      </c>
      <c r="AM1211" s="20" t="s">
        <v>46</v>
      </c>
      <c r="AN1211" s="21">
        <v>131972.0</v>
      </c>
      <c r="AO1211" s="21">
        <v>10.0</v>
      </c>
      <c r="AP1211" s="20">
        <v>52932.0</v>
      </c>
      <c r="AQ1211" s="20">
        <v>1206.17</v>
      </c>
    </row>
    <row r="1212" ht="22.5" hidden="1" customHeight="1">
      <c r="AJ1212" s="20" t="s">
        <v>65</v>
      </c>
      <c r="AK1212" s="21">
        <v>4.0</v>
      </c>
      <c r="AL1212" s="20" t="s">
        <v>4</v>
      </c>
      <c r="AM1212" s="20" t="s">
        <v>51</v>
      </c>
      <c r="AN1212" s="21">
        <v>33668.0</v>
      </c>
      <c r="AO1212" s="21">
        <v>10.0</v>
      </c>
      <c r="AP1212" s="20">
        <v>72499.0</v>
      </c>
      <c r="AQ1212" s="20">
        <v>1206.28</v>
      </c>
    </row>
    <row r="1213" ht="22.5" hidden="1" customHeight="1">
      <c r="AJ1213" s="20" t="s">
        <v>65</v>
      </c>
      <c r="AK1213" s="21">
        <v>5.0</v>
      </c>
      <c r="AL1213" s="20" t="s">
        <v>4</v>
      </c>
      <c r="AM1213" s="20" t="s">
        <v>48</v>
      </c>
      <c r="AN1213" s="21">
        <v>131972.0</v>
      </c>
      <c r="AO1213" s="21">
        <v>10.0</v>
      </c>
      <c r="AP1213" s="20">
        <v>54114.0</v>
      </c>
      <c r="AQ1213" s="20">
        <v>1207.2</v>
      </c>
    </row>
    <row r="1214" ht="22.5" hidden="1" customHeight="1">
      <c r="AJ1214" s="20" t="s">
        <v>65</v>
      </c>
      <c r="AK1214" s="21">
        <v>5.0</v>
      </c>
      <c r="AL1214" s="20" t="s">
        <v>2</v>
      </c>
      <c r="AM1214" s="20" t="s">
        <v>48</v>
      </c>
      <c r="AN1214" s="21">
        <v>4996.0</v>
      </c>
      <c r="AO1214" s="21">
        <v>10.0</v>
      </c>
      <c r="AP1214" s="20">
        <v>54114.0</v>
      </c>
      <c r="AQ1214" s="20">
        <v>1207.8</v>
      </c>
    </row>
    <row r="1215" ht="22.5" hidden="1" customHeight="1">
      <c r="AJ1215" s="20" t="s">
        <v>65</v>
      </c>
      <c r="AK1215" s="21">
        <v>5.0</v>
      </c>
      <c r="AL1215" s="20" t="s">
        <v>5</v>
      </c>
      <c r="AM1215" s="20" t="s">
        <v>48</v>
      </c>
      <c r="AN1215" s="21">
        <v>33668.0</v>
      </c>
      <c r="AO1215" s="21">
        <v>20.0</v>
      </c>
      <c r="AP1215" s="20">
        <v>54084.0</v>
      </c>
      <c r="AQ1215" s="20">
        <v>1207.97</v>
      </c>
    </row>
    <row r="1216" ht="22.5" hidden="1" customHeight="1">
      <c r="AJ1216" s="20" t="s">
        <v>65</v>
      </c>
      <c r="AK1216" s="21">
        <v>4.0</v>
      </c>
      <c r="AL1216" s="20" t="s">
        <v>3</v>
      </c>
      <c r="AM1216" s="20" t="s">
        <v>53</v>
      </c>
      <c r="AN1216" s="21">
        <v>1412.0</v>
      </c>
      <c r="AO1216" s="21">
        <v>20.0</v>
      </c>
      <c r="AP1216" s="20">
        <v>64701.0</v>
      </c>
      <c r="AQ1216" s="20">
        <v>1208.31</v>
      </c>
    </row>
    <row r="1217" ht="22.5" hidden="1" customHeight="1">
      <c r="AJ1217" s="20" t="s">
        <v>65</v>
      </c>
      <c r="AK1217" s="21">
        <v>5.0</v>
      </c>
      <c r="AL1217" s="20" t="s">
        <v>4</v>
      </c>
      <c r="AM1217" s="20" t="s">
        <v>46</v>
      </c>
      <c r="AN1217" s="21">
        <v>2948.0</v>
      </c>
      <c r="AO1217" s="21">
        <v>10.0</v>
      </c>
      <c r="AP1217" s="20">
        <v>52932.0</v>
      </c>
      <c r="AQ1217" s="20">
        <v>1210.02</v>
      </c>
    </row>
    <row r="1218" ht="22.5" hidden="1" customHeight="1">
      <c r="AJ1218" s="20" t="s">
        <v>65</v>
      </c>
      <c r="AK1218" s="21">
        <v>5.0</v>
      </c>
      <c r="AL1218" s="20" t="s">
        <v>2</v>
      </c>
      <c r="AM1218" s="20" t="s">
        <v>51</v>
      </c>
      <c r="AN1218" s="21">
        <v>1156.0</v>
      </c>
      <c r="AO1218" s="21">
        <v>10.0</v>
      </c>
      <c r="AP1218" s="20">
        <v>51727.0</v>
      </c>
      <c r="AQ1218" s="20">
        <v>1211.43</v>
      </c>
    </row>
    <row r="1219" ht="22.5" hidden="1" customHeight="1">
      <c r="AJ1219" s="20" t="s">
        <v>65</v>
      </c>
      <c r="AK1219" s="21">
        <v>5.0</v>
      </c>
      <c r="AL1219" s="20" t="s">
        <v>4</v>
      </c>
      <c r="AM1219" s="20" t="s">
        <v>51</v>
      </c>
      <c r="AN1219" s="21">
        <v>17284.0</v>
      </c>
      <c r="AO1219" s="21">
        <v>10.0</v>
      </c>
      <c r="AP1219" s="20">
        <v>51727.0</v>
      </c>
      <c r="AQ1219" s="20">
        <v>1211.93</v>
      </c>
    </row>
    <row r="1220" ht="22.5" hidden="1" customHeight="1">
      <c r="AJ1220" s="20" t="s">
        <v>65</v>
      </c>
      <c r="AK1220" s="21">
        <v>4.0</v>
      </c>
      <c r="AL1220" s="20" t="s">
        <v>4</v>
      </c>
      <c r="AM1220" s="20" t="s">
        <v>47</v>
      </c>
      <c r="AN1220" s="21">
        <v>1412.0</v>
      </c>
      <c r="AO1220" s="21">
        <v>10.0</v>
      </c>
      <c r="AP1220" s="20">
        <v>76359.0</v>
      </c>
      <c r="AQ1220" s="20">
        <v>1211.96</v>
      </c>
    </row>
    <row r="1221" ht="22.5" hidden="1" customHeight="1">
      <c r="AJ1221" s="20" t="s">
        <v>65</v>
      </c>
      <c r="AK1221" s="21">
        <v>5.0</v>
      </c>
      <c r="AL1221" s="20" t="s">
        <v>5</v>
      </c>
      <c r="AM1221" s="20" t="s">
        <v>51</v>
      </c>
      <c r="AN1221" s="21">
        <v>66436.0</v>
      </c>
      <c r="AO1221" s="21">
        <v>20.0</v>
      </c>
      <c r="AP1221" s="20">
        <v>51727.0</v>
      </c>
      <c r="AQ1221" s="20">
        <v>1211.96</v>
      </c>
    </row>
    <row r="1222" ht="22.5" hidden="1" customHeight="1">
      <c r="AJ1222" s="20" t="s">
        <v>65</v>
      </c>
      <c r="AK1222" s="21">
        <v>4.0</v>
      </c>
      <c r="AL1222" s="20" t="s">
        <v>5</v>
      </c>
      <c r="AM1222" s="20" t="s">
        <v>53</v>
      </c>
      <c r="AN1222" s="21">
        <v>4996.0</v>
      </c>
      <c r="AO1222" s="21">
        <v>20.0</v>
      </c>
      <c r="AP1222" s="20">
        <v>64718.0</v>
      </c>
      <c r="AQ1222" s="20">
        <v>1212.68</v>
      </c>
    </row>
    <row r="1223" ht="22.5" hidden="1" customHeight="1">
      <c r="AJ1223" s="20" t="s">
        <v>65</v>
      </c>
      <c r="AK1223" s="21">
        <v>5.0</v>
      </c>
      <c r="AL1223" s="20" t="s">
        <v>4</v>
      </c>
      <c r="AM1223" s="20" t="s">
        <v>52</v>
      </c>
      <c r="AN1223" s="21">
        <v>1156.0</v>
      </c>
      <c r="AO1223" s="21">
        <v>10.0</v>
      </c>
      <c r="AP1223" s="20">
        <v>50654.0</v>
      </c>
      <c r="AQ1223" s="20">
        <v>1212.89</v>
      </c>
    </row>
    <row r="1224" ht="22.5" hidden="1" customHeight="1">
      <c r="AJ1224" s="20" t="s">
        <v>65</v>
      </c>
      <c r="AK1224" s="21">
        <v>5.0</v>
      </c>
      <c r="AL1224" s="20" t="s">
        <v>3</v>
      </c>
      <c r="AM1224" s="20" t="s">
        <v>49</v>
      </c>
      <c r="AN1224" s="21">
        <v>1412.0</v>
      </c>
      <c r="AO1224" s="21">
        <v>20.0</v>
      </c>
      <c r="AP1224" s="20">
        <v>57208.0</v>
      </c>
      <c r="AQ1224" s="20">
        <v>1213.22</v>
      </c>
    </row>
    <row r="1225" ht="22.5" hidden="1" customHeight="1">
      <c r="AJ1225" s="20" t="s">
        <v>65</v>
      </c>
      <c r="AK1225" s="21">
        <v>5.0</v>
      </c>
      <c r="AL1225" s="20" t="s">
        <v>4</v>
      </c>
      <c r="AM1225" s="20" t="s">
        <v>52</v>
      </c>
      <c r="AN1225" s="21">
        <v>131972.0</v>
      </c>
      <c r="AO1225" s="21">
        <v>10.0</v>
      </c>
      <c r="AP1225" s="20">
        <v>50654.0</v>
      </c>
      <c r="AQ1225" s="20">
        <v>1213.32</v>
      </c>
    </row>
    <row r="1226" ht="22.5" hidden="1" customHeight="1">
      <c r="AJ1226" s="20" t="s">
        <v>65</v>
      </c>
      <c r="AK1226" s="21">
        <v>5.0</v>
      </c>
      <c r="AL1226" s="20" t="s">
        <v>4</v>
      </c>
      <c r="AM1226" s="20" t="s">
        <v>56</v>
      </c>
      <c r="AN1226" s="21">
        <v>17284.0</v>
      </c>
      <c r="AO1226" s="21">
        <v>10.0</v>
      </c>
      <c r="AP1226" s="20">
        <v>53728.0</v>
      </c>
      <c r="AQ1226" s="20">
        <v>1213.98</v>
      </c>
    </row>
    <row r="1227" ht="22.5" hidden="1" customHeight="1">
      <c r="AJ1227" s="20" t="s">
        <v>65</v>
      </c>
      <c r="AK1227" s="21">
        <v>5.0</v>
      </c>
      <c r="AL1227" s="20" t="s">
        <v>4</v>
      </c>
      <c r="AM1227" s="20" t="s">
        <v>51</v>
      </c>
      <c r="AN1227" s="21">
        <v>4996.0</v>
      </c>
      <c r="AO1227" s="21">
        <v>10.0</v>
      </c>
      <c r="AP1227" s="20">
        <v>51727.0</v>
      </c>
      <c r="AQ1227" s="20">
        <v>1215.18</v>
      </c>
    </row>
    <row r="1228" ht="22.5" hidden="1" customHeight="1">
      <c r="AJ1228" s="20" t="s">
        <v>65</v>
      </c>
      <c r="AK1228" s="21">
        <v>4.0</v>
      </c>
      <c r="AL1228" s="20" t="s">
        <v>4</v>
      </c>
      <c r="AM1228" s="20" t="s">
        <v>48</v>
      </c>
      <c r="AN1228" s="21">
        <v>9092.0</v>
      </c>
      <c r="AO1228" s="21">
        <v>10.0</v>
      </c>
      <c r="AP1228" s="20">
        <v>75248.0</v>
      </c>
      <c r="AQ1228" s="20">
        <v>1215.29</v>
      </c>
    </row>
    <row r="1229" ht="22.5" hidden="1" customHeight="1">
      <c r="AJ1229" s="20" t="s">
        <v>65</v>
      </c>
      <c r="AK1229" s="21">
        <v>4.0</v>
      </c>
      <c r="AL1229" s="20" t="s">
        <v>4</v>
      </c>
      <c r="AM1229" s="20" t="s">
        <v>50</v>
      </c>
      <c r="AN1229" s="21">
        <v>33668.0</v>
      </c>
      <c r="AO1229" s="21">
        <v>10.0</v>
      </c>
      <c r="AP1229" s="20">
        <v>76425.0</v>
      </c>
      <c r="AQ1229" s="20">
        <v>1215.39</v>
      </c>
    </row>
    <row r="1230" ht="22.5" hidden="1" customHeight="1">
      <c r="AJ1230" s="20" t="s">
        <v>65</v>
      </c>
      <c r="AK1230" s="21">
        <v>4.0</v>
      </c>
      <c r="AL1230" s="20" t="s">
        <v>4</v>
      </c>
      <c r="AM1230" s="20" t="s">
        <v>51</v>
      </c>
      <c r="AN1230" s="21">
        <v>4996.0</v>
      </c>
      <c r="AO1230" s="21">
        <v>10.0</v>
      </c>
      <c r="AP1230" s="20">
        <v>72499.0</v>
      </c>
      <c r="AQ1230" s="20">
        <v>1215.54</v>
      </c>
    </row>
    <row r="1231" ht="22.5" hidden="1" customHeight="1">
      <c r="AJ1231" s="20" t="s">
        <v>65</v>
      </c>
      <c r="AK1231" s="21">
        <v>5.0</v>
      </c>
      <c r="AL1231" s="20" t="s">
        <v>4</v>
      </c>
      <c r="AM1231" s="20" t="s">
        <v>55</v>
      </c>
      <c r="AN1231" s="21">
        <v>1156.0</v>
      </c>
      <c r="AO1231" s="21">
        <v>10.0</v>
      </c>
      <c r="AP1231" s="20">
        <v>56023.0</v>
      </c>
      <c r="AQ1231" s="20">
        <v>1215.75</v>
      </c>
    </row>
    <row r="1232" ht="22.5" hidden="1" customHeight="1">
      <c r="AJ1232" s="20" t="s">
        <v>65</v>
      </c>
      <c r="AK1232" s="21">
        <v>5.0</v>
      </c>
      <c r="AL1232" s="20" t="s">
        <v>3</v>
      </c>
      <c r="AM1232" s="20" t="s">
        <v>51</v>
      </c>
      <c r="AN1232" s="21">
        <v>2948.0</v>
      </c>
      <c r="AO1232" s="21">
        <v>20.0</v>
      </c>
      <c r="AP1232" s="20">
        <v>51727.0</v>
      </c>
      <c r="AQ1232" s="20">
        <v>1216.17</v>
      </c>
    </row>
    <row r="1233" ht="22.5" hidden="1" customHeight="1">
      <c r="AJ1233" s="20" t="s">
        <v>65</v>
      </c>
      <c r="AK1233" s="21">
        <v>5.0</v>
      </c>
      <c r="AL1233" s="20" t="s">
        <v>5</v>
      </c>
      <c r="AM1233" s="20" t="s">
        <v>51</v>
      </c>
      <c r="AN1233" s="21">
        <v>1156.0</v>
      </c>
      <c r="AO1233" s="21">
        <v>20.0</v>
      </c>
      <c r="AP1233" s="20">
        <v>51727.0</v>
      </c>
      <c r="AQ1233" s="20">
        <v>1216.42</v>
      </c>
    </row>
    <row r="1234" ht="22.5" hidden="1" customHeight="1">
      <c r="AJ1234" s="20" t="s">
        <v>65</v>
      </c>
      <c r="AK1234" s="21">
        <v>5.0</v>
      </c>
      <c r="AL1234" s="20" t="s">
        <v>5</v>
      </c>
      <c r="AM1234" s="20" t="s">
        <v>51</v>
      </c>
      <c r="AN1234" s="21">
        <v>9092.0</v>
      </c>
      <c r="AO1234" s="21">
        <v>20.0</v>
      </c>
      <c r="AP1234" s="20">
        <v>52078.0</v>
      </c>
      <c r="AQ1234" s="20">
        <v>1216.6</v>
      </c>
    </row>
    <row r="1235" ht="22.5" hidden="1" customHeight="1">
      <c r="AJ1235" s="20" t="s">
        <v>65</v>
      </c>
      <c r="AK1235" s="21">
        <v>5.0</v>
      </c>
      <c r="AL1235" s="20" t="s">
        <v>4</v>
      </c>
      <c r="AM1235" s="20" t="s">
        <v>55</v>
      </c>
      <c r="AN1235" s="21">
        <v>131972.0</v>
      </c>
      <c r="AO1235" s="21">
        <v>10.0</v>
      </c>
      <c r="AP1235" s="20">
        <v>56023.0</v>
      </c>
      <c r="AQ1235" s="20">
        <v>1216.9</v>
      </c>
    </row>
    <row r="1236" ht="22.5" hidden="1" customHeight="1">
      <c r="AJ1236" s="20" t="s">
        <v>65</v>
      </c>
      <c r="AK1236" s="21">
        <v>5.0</v>
      </c>
      <c r="AL1236" s="20" t="s">
        <v>4</v>
      </c>
      <c r="AM1236" s="20" t="s">
        <v>47</v>
      </c>
      <c r="AN1236" s="21">
        <v>1924.0</v>
      </c>
      <c r="AO1236" s="21">
        <v>10.0</v>
      </c>
      <c r="AP1236" s="20">
        <v>54844.0</v>
      </c>
      <c r="AQ1236" s="20">
        <v>1217.69</v>
      </c>
    </row>
    <row r="1237" ht="22.5" hidden="1" customHeight="1">
      <c r="AJ1237" s="20" t="s">
        <v>65</v>
      </c>
      <c r="AK1237" s="21">
        <v>5.0</v>
      </c>
      <c r="AL1237" s="20" t="s">
        <v>5</v>
      </c>
      <c r="AM1237" s="20" t="s">
        <v>52</v>
      </c>
      <c r="AN1237" s="21">
        <v>9092.0</v>
      </c>
      <c r="AO1237" s="21">
        <v>20.0</v>
      </c>
      <c r="AP1237" s="20">
        <v>50654.0</v>
      </c>
      <c r="AQ1237" s="20">
        <v>1218.54</v>
      </c>
    </row>
    <row r="1238" ht="22.5" hidden="1" customHeight="1">
      <c r="AJ1238" s="20" t="s">
        <v>65</v>
      </c>
      <c r="AK1238" s="21">
        <v>5.0</v>
      </c>
      <c r="AL1238" s="20" t="s">
        <v>4</v>
      </c>
      <c r="AM1238" s="20" t="s">
        <v>50</v>
      </c>
      <c r="AN1238" s="21">
        <v>2948.0</v>
      </c>
      <c r="AO1238" s="21">
        <v>10.0</v>
      </c>
      <c r="AP1238" s="20">
        <v>53092.0</v>
      </c>
      <c r="AQ1238" s="20">
        <v>1219.6</v>
      </c>
    </row>
    <row r="1239" ht="22.5" hidden="1" customHeight="1">
      <c r="AJ1239" s="20" t="s">
        <v>65</v>
      </c>
      <c r="AK1239" s="21">
        <v>5.0</v>
      </c>
      <c r="AL1239" s="20" t="s">
        <v>5</v>
      </c>
      <c r="AM1239" s="20" t="s">
        <v>47</v>
      </c>
      <c r="AN1239" s="21">
        <v>131972.0</v>
      </c>
      <c r="AO1239" s="21">
        <v>20.0</v>
      </c>
      <c r="AP1239" s="20">
        <v>55091.0</v>
      </c>
      <c r="AQ1239" s="20">
        <v>1219.61</v>
      </c>
    </row>
    <row r="1240" ht="22.5" hidden="1" customHeight="1">
      <c r="AJ1240" s="20" t="s">
        <v>65</v>
      </c>
      <c r="AK1240" s="21">
        <v>5.0</v>
      </c>
      <c r="AL1240" s="20" t="s">
        <v>5</v>
      </c>
      <c r="AM1240" s="20" t="s">
        <v>48</v>
      </c>
      <c r="AN1240" s="21">
        <v>4996.0</v>
      </c>
      <c r="AO1240" s="21">
        <v>20.0</v>
      </c>
      <c r="AP1240" s="20">
        <v>54114.0</v>
      </c>
      <c r="AQ1240" s="20">
        <v>1221.56</v>
      </c>
    </row>
    <row r="1241" ht="22.5" hidden="1" customHeight="1">
      <c r="AJ1241" s="20" t="s">
        <v>65</v>
      </c>
      <c r="AK1241" s="21">
        <v>5.0</v>
      </c>
      <c r="AL1241" s="20" t="s">
        <v>5</v>
      </c>
      <c r="AM1241" s="20" t="s">
        <v>49</v>
      </c>
      <c r="AN1241" s="21">
        <v>9092.0</v>
      </c>
      <c r="AO1241" s="21">
        <v>20.0</v>
      </c>
      <c r="AP1241" s="20">
        <v>57208.0</v>
      </c>
      <c r="AQ1241" s="20">
        <v>1222.01</v>
      </c>
    </row>
    <row r="1242" ht="22.5" hidden="1" customHeight="1">
      <c r="AJ1242" s="20" t="s">
        <v>65</v>
      </c>
      <c r="AK1242" s="21">
        <v>5.0</v>
      </c>
      <c r="AL1242" s="20" t="s">
        <v>4</v>
      </c>
      <c r="AM1242" s="20" t="s">
        <v>52</v>
      </c>
      <c r="AN1242" s="21">
        <v>1924.0</v>
      </c>
      <c r="AO1242" s="21">
        <v>10.0</v>
      </c>
      <c r="AP1242" s="20">
        <v>50654.0</v>
      </c>
      <c r="AQ1242" s="20">
        <v>1222.37</v>
      </c>
    </row>
    <row r="1243" ht="22.5" hidden="1" customHeight="1">
      <c r="AJ1243" s="20" t="s">
        <v>65</v>
      </c>
      <c r="AK1243" s="21">
        <v>5.0</v>
      </c>
      <c r="AL1243" s="20" t="s">
        <v>4</v>
      </c>
      <c r="AM1243" s="20" t="s">
        <v>46</v>
      </c>
      <c r="AN1243" s="21">
        <v>17284.0</v>
      </c>
      <c r="AO1243" s="21">
        <v>10.0</v>
      </c>
      <c r="AP1243" s="20">
        <v>52932.0</v>
      </c>
      <c r="AQ1243" s="20">
        <v>1224.58</v>
      </c>
    </row>
    <row r="1244" ht="22.5" hidden="1" customHeight="1">
      <c r="AJ1244" s="20" t="s">
        <v>65</v>
      </c>
      <c r="AK1244" s="21">
        <v>5.0</v>
      </c>
      <c r="AL1244" s="20" t="s">
        <v>5</v>
      </c>
      <c r="AM1244" s="20" t="s">
        <v>46</v>
      </c>
      <c r="AN1244" s="21">
        <v>33668.0</v>
      </c>
      <c r="AO1244" s="21">
        <v>20.0</v>
      </c>
      <c r="AP1244" s="20">
        <v>52932.0</v>
      </c>
      <c r="AQ1244" s="20">
        <v>1224.96</v>
      </c>
    </row>
    <row r="1245" ht="22.5" hidden="1" customHeight="1">
      <c r="AJ1245" s="20" t="s">
        <v>65</v>
      </c>
      <c r="AK1245" s="21">
        <v>4.0</v>
      </c>
      <c r="AL1245" s="20" t="s">
        <v>4</v>
      </c>
      <c r="AM1245" s="20" t="s">
        <v>52</v>
      </c>
      <c r="AN1245" s="21">
        <v>1156.0</v>
      </c>
      <c r="AO1245" s="21">
        <v>10.0</v>
      </c>
      <c r="AP1245" s="20">
        <v>72379.0</v>
      </c>
      <c r="AQ1245" s="20">
        <v>1226.1</v>
      </c>
    </row>
    <row r="1246" ht="22.5" hidden="1" customHeight="1">
      <c r="AJ1246" s="20" t="s">
        <v>65</v>
      </c>
      <c r="AK1246" s="21">
        <v>5.0</v>
      </c>
      <c r="AL1246" s="20" t="s">
        <v>4</v>
      </c>
      <c r="AM1246" s="20" t="s">
        <v>55</v>
      </c>
      <c r="AN1246" s="21">
        <v>9092.0</v>
      </c>
      <c r="AO1246" s="21">
        <v>10.0</v>
      </c>
      <c r="AP1246" s="20">
        <v>56023.0</v>
      </c>
      <c r="AQ1246" s="20">
        <v>1227.75</v>
      </c>
    </row>
    <row r="1247" ht="22.5" hidden="1" customHeight="1">
      <c r="AJ1247" s="20" t="s">
        <v>65</v>
      </c>
      <c r="AK1247" s="21">
        <v>5.0</v>
      </c>
      <c r="AL1247" s="20" t="s">
        <v>3</v>
      </c>
      <c r="AM1247" s="20" t="s">
        <v>51</v>
      </c>
      <c r="AN1247" s="21">
        <v>1156.0</v>
      </c>
      <c r="AO1247" s="21">
        <v>20.0</v>
      </c>
      <c r="AP1247" s="20">
        <v>51727.0</v>
      </c>
      <c r="AQ1247" s="20">
        <v>1228.0</v>
      </c>
    </row>
    <row r="1248" ht="22.5" hidden="1" customHeight="1">
      <c r="AJ1248" s="20" t="s">
        <v>65</v>
      </c>
      <c r="AK1248" s="21">
        <v>5.0</v>
      </c>
      <c r="AL1248" s="20" t="s">
        <v>5</v>
      </c>
      <c r="AM1248" s="20" t="s">
        <v>48</v>
      </c>
      <c r="AN1248" s="21">
        <v>66436.0</v>
      </c>
      <c r="AO1248" s="21">
        <v>20.0</v>
      </c>
      <c r="AP1248" s="20">
        <v>54114.0</v>
      </c>
      <c r="AQ1248" s="20">
        <v>1228.3</v>
      </c>
    </row>
    <row r="1249" ht="22.5" hidden="1" customHeight="1">
      <c r="AJ1249" s="20" t="s">
        <v>65</v>
      </c>
      <c r="AK1249" s="21">
        <v>5.0</v>
      </c>
      <c r="AL1249" s="20" t="s">
        <v>4</v>
      </c>
      <c r="AM1249" s="20" t="s">
        <v>50</v>
      </c>
      <c r="AN1249" s="21">
        <v>66436.0</v>
      </c>
      <c r="AO1249" s="21">
        <v>10.0</v>
      </c>
      <c r="AP1249" s="20">
        <v>53092.0</v>
      </c>
      <c r="AQ1249" s="20">
        <v>1228.57</v>
      </c>
    </row>
    <row r="1250" ht="22.5" hidden="1" customHeight="1">
      <c r="AJ1250" s="20" t="s">
        <v>65</v>
      </c>
      <c r="AK1250" s="21">
        <v>5.0</v>
      </c>
      <c r="AL1250" s="20" t="s">
        <v>3</v>
      </c>
      <c r="AM1250" s="20" t="s">
        <v>49</v>
      </c>
      <c r="AN1250" s="21">
        <v>4996.0</v>
      </c>
      <c r="AO1250" s="21">
        <v>20.0</v>
      </c>
      <c r="AP1250" s="20">
        <v>57208.0</v>
      </c>
      <c r="AQ1250" s="20">
        <v>1229.36</v>
      </c>
    </row>
    <row r="1251" ht="22.5" hidden="1" customHeight="1">
      <c r="AJ1251" s="20" t="s">
        <v>65</v>
      </c>
      <c r="AK1251" s="21">
        <v>5.0</v>
      </c>
      <c r="AL1251" s="20" t="s">
        <v>4</v>
      </c>
      <c r="AM1251" s="20" t="s">
        <v>52</v>
      </c>
      <c r="AN1251" s="21">
        <v>66436.0</v>
      </c>
      <c r="AO1251" s="21">
        <v>10.0</v>
      </c>
      <c r="AP1251" s="20">
        <v>50654.0</v>
      </c>
      <c r="AQ1251" s="20">
        <v>1229.44</v>
      </c>
    </row>
    <row r="1252" ht="22.5" hidden="1" customHeight="1">
      <c r="AJ1252" s="20" t="s">
        <v>65</v>
      </c>
      <c r="AK1252" s="21">
        <v>5.0</v>
      </c>
      <c r="AL1252" s="20" t="s">
        <v>4</v>
      </c>
      <c r="AM1252" s="20" t="s">
        <v>47</v>
      </c>
      <c r="AN1252" s="21">
        <v>2948.0</v>
      </c>
      <c r="AO1252" s="21">
        <v>10.0</v>
      </c>
      <c r="AP1252" s="20">
        <v>54844.0</v>
      </c>
      <c r="AQ1252" s="20">
        <v>1229.82</v>
      </c>
    </row>
    <row r="1253" ht="22.5" hidden="1" customHeight="1">
      <c r="AJ1253" s="20" t="s">
        <v>65</v>
      </c>
      <c r="AK1253" s="21">
        <v>5.0</v>
      </c>
      <c r="AL1253" s="20" t="s">
        <v>4</v>
      </c>
      <c r="AM1253" s="20" t="s">
        <v>52</v>
      </c>
      <c r="AN1253" s="21">
        <v>1412.0</v>
      </c>
      <c r="AO1253" s="21">
        <v>10.0</v>
      </c>
      <c r="AP1253" s="20">
        <v>50804.0</v>
      </c>
      <c r="AQ1253" s="20">
        <v>1230.02</v>
      </c>
    </row>
    <row r="1254" ht="22.5" hidden="1" customHeight="1">
      <c r="AJ1254" s="20" t="s">
        <v>65</v>
      </c>
      <c r="AK1254" s="21">
        <v>5.0</v>
      </c>
      <c r="AL1254" s="20" t="s">
        <v>4</v>
      </c>
      <c r="AM1254" s="20" t="s">
        <v>46</v>
      </c>
      <c r="AN1254" s="21">
        <v>1412.0</v>
      </c>
      <c r="AO1254" s="21">
        <v>10.0</v>
      </c>
      <c r="AP1254" s="20">
        <v>52932.0</v>
      </c>
      <c r="AQ1254" s="20">
        <v>1230.21</v>
      </c>
    </row>
    <row r="1255" ht="22.5" hidden="1" customHeight="1">
      <c r="AJ1255" s="20" t="s">
        <v>65</v>
      </c>
      <c r="AK1255" s="21">
        <v>4.0</v>
      </c>
      <c r="AL1255" s="20" t="s">
        <v>4</v>
      </c>
      <c r="AM1255" s="20" t="s">
        <v>49</v>
      </c>
      <c r="AN1255" s="21">
        <v>9092.0</v>
      </c>
      <c r="AO1255" s="21">
        <v>10.0</v>
      </c>
      <c r="AP1255" s="20">
        <v>79757.0</v>
      </c>
      <c r="AQ1255" s="20">
        <v>1230.23</v>
      </c>
    </row>
    <row r="1256" ht="22.5" hidden="1" customHeight="1">
      <c r="AJ1256" s="20" t="s">
        <v>65</v>
      </c>
      <c r="AK1256" s="21">
        <v>5.0</v>
      </c>
      <c r="AL1256" s="20" t="s">
        <v>3</v>
      </c>
      <c r="AM1256" s="20" t="s">
        <v>48</v>
      </c>
      <c r="AN1256" s="21">
        <v>4996.0</v>
      </c>
      <c r="AO1256" s="21">
        <v>20.0</v>
      </c>
      <c r="AP1256" s="20">
        <v>54114.0</v>
      </c>
      <c r="AQ1256" s="20">
        <v>1230.42</v>
      </c>
    </row>
    <row r="1257" ht="22.5" hidden="1" customHeight="1">
      <c r="AJ1257" s="20" t="s">
        <v>65</v>
      </c>
      <c r="AK1257" s="21">
        <v>5.0</v>
      </c>
      <c r="AL1257" s="20" t="s">
        <v>2</v>
      </c>
      <c r="AM1257" s="20" t="s">
        <v>56</v>
      </c>
      <c r="AN1257" s="21">
        <v>2948.0</v>
      </c>
      <c r="AO1257" s="21">
        <v>10.0</v>
      </c>
      <c r="AP1257" s="20">
        <v>53728.0</v>
      </c>
      <c r="AQ1257" s="20">
        <v>1230.44</v>
      </c>
    </row>
    <row r="1258" ht="22.5" hidden="1" customHeight="1">
      <c r="AJ1258" s="20" t="s">
        <v>65</v>
      </c>
      <c r="AK1258" s="21">
        <v>5.0</v>
      </c>
      <c r="AL1258" s="20" t="s">
        <v>4</v>
      </c>
      <c r="AM1258" s="20" t="s">
        <v>52</v>
      </c>
      <c r="AN1258" s="21">
        <v>2948.0</v>
      </c>
      <c r="AO1258" s="21">
        <v>10.0</v>
      </c>
      <c r="AP1258" s="20">
        <v>50654.0</v>
      </c>
      <c r="AQ1258" s="20">
        <v>1231.2</v>
      </c>
    </row>
    <row r="1259" ht="22.5" hidden="1" customHeight="1">
      <c r="AJ1259" s="20" t="s">
        <v>65</v>
      </c>
      <c r="AK1259" s="21">
        <v>5.0</v>
      </c>
      <c r="AL1259" s="20" t="s">
        <v>5</v>
      </c>
      <c r="AM1259" s="20" t="s">
        <v>52</v>
      </c>
      <c r="AN1259" s="21">
        <v>1924.0</v>
      </c>
      <c r="AO1259" s="21">
        <v>20.0</v>
      </c>
      <c r="AP1259" s="20">
        <v>50654.0</v>
      </c>
      <c r="AQ1259" s="20">
        <v>1231.41</v>
      </c>
    </row>
    <row r="1260" ht="22.5" hidden="1" customHeight="1">
      <c r="AJ1260" s="20" t="s">
        <v>65</v>
      </c>
      <c r="AK1260" s="21">
        <v>5.0</v>
      </c>
      <c r="AL1260" s="20" t="s">
        <v>4</v>
      </c>
      <c r="AM1260" s="20" t="s">
        <v>55</v>
      </c>
      <c r="AN1260" s="21">
        <v>1412.0</v>
      </c>
      <c r="AO1260" s="21">
        <v>10.0</v>
      </c>
      <c r="AP1260" s="20">
        <v>55987.0</v>
      </c>
      <c r="AQ1260" s="20">
        <v>1231.99</v>
      </c>
    </row>
    <row r="1261" ht="22.5" hidden="1" customHeight="1">
      <c r="AJ1261" s="20" t="s">
        <v>65</v>
      </c>
      <c r="AK1261" s="21">
        <v>4.0</v>
      </c>
      <c r="AL1261" s="20" t="s">
        <v>4</v>
      </c>
      <c r="AM1261" s="20" t="s">
        <v>46</v>
      </c>
      <c r="AN1261" s="21">
        <v>1924.0</v>
      </c>
      <c r="AO1261" s="21">
        <v>10.0</v>
      </c>
      <c r="AP1261" s="20">
        <v>73127.0</v>
      </c>
      <c r="AQ1261" s="20">
        <v>1232.61</v>
      </c>
    </row>
    <row r="1262" ht="22.5" hidden="1" customHeight="1">
      <c r="AJ1262" s="20" t="s">
        <v>65</v>
      </c>
      <c r="AK1262" s="21">
        <v>5.0</v>
      </c>
      <c r="AL1262" s="20" t="s">
        <v>5</v>
      </c>
      <c r="AM1262" s="20" t="s">
        <v>50</v>
      </c>
      <c r="AN1262" s="21">
        <v>2948.0</v>
      </c>
      <c r="AO1262" s="21">
        <v>20.0</v>
      </c>
      <c r="AP1262" s="20">
        <v>53092.0</v>
      </c>
      <c r="AQ1262" s="20">
        <v>1232.68</v>
      </c>
    </row>
    <row r="1263" ht="22.5" hidden="1" customHeight="1">
      <c r="AJ1263" s="20" t="s">
        <v>65</v>
      </c>
      <c r="AK1263" s="21">
        <v>5.0</v>
      </c>
      <c r="AL1263" s="20" t="s">
        <v>5</v>
      </c>
      <c r="AM1263" s="20" t="s">
        <v>48</v>
      </c>
      <c r="AN1263" s="21">
        <v>131972.0</v>
      </c>
      <c r="AO1263" s="21">
        <v>20.0</v>
      </c>
      <c r="AP1263" s="20">
        <v>54114.0</v>
      </c>
      <c r="AQ1263" s="20">
        <v>1232.93</v>
      </c>
    </row>
    <row r="1264" ht="22.5" hidden="1" customHeight="1">
      <c r="AJ1264" s="20" t="s">
        <v>65</v>
      </c>
      <c r="AK1264" s="21">
        <v>5.0</v>
      </c>
      <c r="AL1264" s="20" t="s">
        <v>4</v>
      </c>
      <c r="AM1264" s="20" t="s">
        <v>48</v>
      </c>
      <c r="AN1264" s="21">
        <v>1156.0</v>
      </c>
      <c r="AO1264" s="21">
        <v>10.0</v>
      </c>
      <c r="AP1264" s="20">
        <v>54044.0</v>
      </c>
      <c r="AQ1264" s="20">
        <v>1233.3</v>
      </c>
    </row>
    <row r="1265" ht="22.5" hidden="1" customHeight="1">
      <c r="AJ1265" s="20" t="s">
        <v>65</v>
      </c>
      <c r="AK1265" s="21">
        <v>5.0</v>
      </c>
      <c r="AL1265" s="20" t="s">
        <v>5</v>
      </c>
      <c r="AM1265" s="20" t="s">
        <v>48</v>
      </c>
      <c r="AN1265" s="21">
        <v>9092.0</v>
      </c>
      <c r="AO1265" s="21">
        <v>20.0</v>
      </c>
      <c r="AP1265" s="20">
        <v>54114.0</v>
      </c>
      <c r="AQ1265" s="20">
        <v>1233.92</v>
      </c>
    </row>
    <row r="1266" ht="22.5" hidden="1" customHeight="1">
      <c r="AJ1266" s="20" t="s">
        <v>65</v>
      </c>
      <c r="AK1266" s="21">
        <v>5.0</v>
      </c>
      <c r="AL1266" s="20" t="s">
        <v>4</v>
      </c>
      <c r="AM1266" s="20" t="s">
        <v>56</v>
      </c>
      <c r="AN1266" s="21">
        <v>1924.0</v>
      </c>
      <c r="AO1266" s="21">
        <v>10.0</v>
      </c>
      <c r="AP1266" s="20">
        <v>53728.0</v>
      </c>
      <c r="AQ1266" s="20">
        <v>1233.98</v>
      </c>
    </row>
    <row r="1267" ht="22.5" hidden="1" customHeight="1">
      <c r="AJ1267" s="20" t="s">
        <v>65</v>
      </c>
      <c r="AK1267" s="21">
        <v>5.0</v>
      </c>
      <c r="AL1267" s="20" t="s">
        <v>4</v>
      </c>
      <c r="AM1267" s="20" t="s">
        <v>55</v>
      </c>
      <c r="AN1267" s="21">
        <v>66436.0</v>
      </c>
      <c r="AO1267" s="21">
        <v>10.0</v>
      </c>
      <c r="AP1267" s="20">
        <v>55987.0</v>
      </c>
      <c r="AQ1267" s="20">
        <v>1234.52</v>
      </c>
    </row>
    <row r="1268" ht="22.5" hidden="1" customHeight="1">
      <c r="AJ1268" s="20" t="s">
        <v>65</v>
      </c>
      <c r="AK1268" s="21">
        <v>5.0</v>
      </c>
      <c r="AL1268" s="20" t="s">
        <v>3</v>
      </c>
      <c r="AM1268" s="20" t="s">
        <v>46</v>
      </c>
      <c r="AN1268" s="21">
        <v>4996.0</v>
      </c>
      <c r="AO1268" s="21">
        <v>20.0</v>
      </c>
      <c r="AP1268" s="20">
        <v>52932.0</v>
      </c>
      <c r="AQ1268" s="20">
        <v>1235.74</v>
      </c>
    </row>
    <row r="1269" ht="22.5" hidden="1" customHeight="1">
      <c r="AJ1269" s="20" t="s">
        <v>65</v>
      </c>
      <c r="AK1269" s="21">
        <v>5.0</v>
      </c>
      <c r="AL1269" s="20" t="s">
        <v>5</v>
      </c>
      <c r="AM1269" s="20" t="s">
        <v>51</v>
      </c>
      <c r="AN1269" s="21">
        <v>17284.0</v>
      </c>
      <c r="AO1269" s="21">
        <v>20.0</v>
      </c>
      <c r="AP1269" s="20">
        <v>51727.0</v>
      </c>
      <c r="AQ1269" s="20">
        <v>1237.32</v>
      </c>
    </row>
    <row r="1270" ht="22.5" hidden="1" customHeight="1">
      <c r="AJ1270" s="20" t="s">
        <v>65</v>
      </c>
      <c r="AK1270" s="21">
        <v>5.0</v>
      </c>
      <c r="AL1270" s="20" t="s">
        <v>3</v>
      </c>
      <c r="AM1270" s="20" t="s">
        <v>50</v>
      </c>
      <c r="AN1270" s="21">
        <v>1156.0</v>
      </c>
      <c r="AO1270" s="21">
        <v>20.0</v>
      </c>
      <c r="AP1270" s="20">
        <v>53136.0</v>
      </c>
      <c r="AQ1270" s="20">
        <v>1237.94</v>
      </c>
    </row>
    <row r="1271" ht="22.5" hidden="1" customHeight="1">
      <c r="AJ1271" s="20" t="s">
        <v>65</v>
      </c>
      <c r="AK1271" s="21">
        <v>4.0</v>
      </c>
      <c r="AL1271" s="20" t="s">
        <v>4</v>
      </c>
      <c r="AM1271" s="20" t="s">
        <v>48</v>
      </c>
      <c r="AN1271" s="21">
        <v>1156.0</v>
      </c>
      <c r="AO1271" s="21">
        <v>10.0</v>
      </c>
      <c r="AP1271" s="20">
        <v>75248.0</v>
      </c>
      <c r="AQ1271" s="20">
        <v>1238.01</v>
      </c>
    </row>
    <row r="1272" ht="22.5" hidden="1" customHeight="1">
      <c r="AJ1272" s="20" t="s">
        <v>65</v>
      </c>
      <c r="AK1272" s="21">
        <v>5.0</v>
      </c>
      <c r="AL1272" s="20" t="s">
        <v>5</v>
      </c>
      <c r="AM1272" s="20" t="s">
        <v>46</v>
      </c>
      <c r="AN1272" s="21">
        <v>66436.0</v>
      </c>
      <c r="AO1272" s="21">
        <v>20.0</v>
      </c>
      <c r="AP1272" s="20">
        <v>52932.0</v>
      </c>
      <c r="AQ1272" s="20">
        <v>1238.07</v>
      </c>
    </row>
    <row r="1273" ht="22.5" hidden="1" customHeight="1">
      <c r="AJ1273" s="20" t="s">
        <v>65</v>
      </c>
      <c r="AK1273" s="21">
        <v>5.0</v>
      </c>
      <c r="AL1273" s="20" t="s">
        <v>5</v>
      </c>
      <c r="AM1273" s="20" t="s">
        <v>56</v>
      </c>
      <c r="AN1273" s="21">
        <v>2948.0</v>
      </c>
      <c r="AO1273" s="21">
        <v>20.0</v>
      </c>
      <c r="AP1273" s="20">
        <v>53728.0</v>
      </c>
      <c r="AQ1273" s="20">
        <v>1238.79</v>
      </c>
    </row>
    <row r="1274" ht="22.5" hidden="1" customHeight="1">
      <c r="AJ1274" s="20" t="s">
        <v>65</v>
      </c>
      <c r="AK1274" s="21">
        <v>5.0</v>
      </c>
      <c r="AL1274" s="20" t="s">
        <v>5</v>
      </c>
      <c r="AM1274" s="20" t="s">
        <v>46</v>
      </c>
      <c r="AN1274" s="21">
        <v>1924.0</v>
      </c>
      <c r="AO1274" s="21">
        <v>20.0</v>
      </c>
      <c r="AP1274" s="20">
        <v>52932.0</v>
      </c>
      <c r="AQ1274" s="20">
        <v>1239.43</v>
      </c>
    </row>
    <row r="1275" ht="22.5" hidden="1" customHeight="1">
      <c r="AJ1275" s="20" t="s">
        <v>65</v>
      </c>
      <c r="AK1275" s="21">
        <v>4.0</v>
      </c>
      <c r="AL1275" s="20" t="s">
        <v>4</v>
      </c>
      <c r="AM1275" s="20" t="s">
        <v>51</v>
      </c>
      <c r="AN1275" s="21">
        <v>2948.0</v>
      </c>
      <c r="AO1275" s="21">
        <v>10.0</v>
      </c>
      <c r="AP1275" s="20">
        <v>72595.0</v>
      </c>
      <c r="AQ1275" s="20">
        <v>1239.64</v>
      </c>
    </row>
    <row r="1276" ht="22.5" hidden="1" customHeight="1">
      <c r="AJ1276" s="20" t="s">
        <v>65</v>
      </c>
      <c r="AK1276" s="21">
        <v>4.0</v>
      </c>
      <c r="AL1276" s="20" t="s">
        <v>3</v>
      </c>
      <c r="AM1276" s="20" t="s">
        <v>53</v>
      </c>
      <c r="AN1276" s="21">
        <v>4996.0</v>
      </c>
      <c r="AO1276" s="21">
        <v>20.0</v>
      </c>
      <c r="AP1276" s="20">
        <v>64718.0</v>
      </c>
      <c r="AQ1276" s="20">
        <v>1241.51</v>
      </c>
    </row>
    <row r="1277" ht="22.5" hidden="1" customHeight="1">
      <c r="AJ1277" s="20" t="s">
        <v>65</v>
      </c>
      <c r="AK1277" s="21">
        <v>5.0</v>
      </c>
      <c r="AL1277" s="20" t="s">
        <v>5</v>
      </c>
      <c r="AM1277" s="20" t="s">
        <v>55</v>
      </c>
      <c r="AN1277" s="21">
        <v>17284.0</v>
      </c>
      <c r="AO1277" s="21">
        <v>20.0</v>
      </c>
      <c r="AP1277" s="20">
        <v>55987.0</v>
      </c>
      <c r="AQ1277" s="20">
        <v>1241.74</v>
      </c>
    </row>
    <row r="1278" ht="22.5" hidden="1" customHeight="1">
      <c r="AJ1278" s="20" t="s">
        <v>65</v>
      </c>
      <c r="AK1278" s="21">
        <v>5.0</v>
      </c>
      <c r="AL1278" s="20" t="s">
        <v>4</v>
      </c>
      <c r="AM1278" s="20" t="s">
        <v>51</v>
      </c>
      <c r="AN1278" s="21">
        <v>1412.0</v>
      </c>
      <c r="AO1278" s="21">
        <v>10.0</v>
      </c>
      <c r="AP1278" s="20">
        <v>51727.0</v>
      </c>
      <c r="AQ1278" s="20">
        <v>1241.76</v>
      </c>
    </row>
    <row r="1279" ht="22.5" hidden="1" customHeight="1">
      <c r="AJ1279" s="20" t="s">
        <v>65</v>
      </c>
      <c r="AK1279" s="21">
        <v>5.0</v>
      </c>
      <c r="AL1279" s="20" t="s">
        <v>5</v>
      </c>
      <c r="AM1279" s="20" t="s">
        <v>46</v>
      </c>
      <c r="AN1279" s="21">
        <v>131972.0</v>
      </c>
      <c r="AO1279" s="21">
        <v>20.0</v>
      </c>
      <c r="AP1279" s="20">
        <v>52932.0</v>
      </c>
      <c r="AQ1279" s="20">
        <v>1241.96</v>
      </c>
    </row>
    <row r="1280" ht="22.5" hidden="1" customHeight="1">
      <c r="AJ1280" s="20" t="s">
        <v>65</v>
      </c>
      <c r="AK1280" s="21">
        <v>5.0</v>
      </c>
      <c r="AL1280" s="20" t="s">
        <v>5</v>
      </c>
      <c r="AM1280" s="20" t="s">
        <v>51</v>
      </c>
      <c r="AN1280" s="21">
        <v>4996.0</v>
      </c>
      <c r="AO1280" s="21">
        <v>20.0</v>
      </c>
      <c r="AP1280" s="20">
        <v>51727.0</v>
      </c>
      <c r="AQ1280" s="20">
        <v>1242.75</v>
      </c>
    </row>
    <row r="1281" ht="22.5" hidden="1" customHeight="1">
      <c r="AJ1281" s="20" t="s">
        <v>65</v>
      </c>
      <c r="AK1281" s="21">
        <v>5.0</v>
      </c>
      <c r="AL1281" s="20" t="s">
        <v>3</v>
      </c>
      <c r="AM1281" s="20" t="s">
        <v>51</v>
      </c>
      <c r="AN1281" s="21">
        <v>4996.0</v>
      </c>
      <c r="AO1281" s="21">
        <v>20.0</v>
      </c>
      <c r="AP1281" s="20">
        <v>51727.0</v>
      </c>
      <c r="AQ1281" s="20">
        <v>1243.71</v>
      </c>
    </row>
    <row r="1282" ht="22.5" hidden="1" customHeight="1">
      <c r="AJ1282" s="20" t="s">
        <v>65</v>
      </c>
      <c r="AK1282" s="21">
        <v>5.0</v>
      </c>
      <c r="AL1282" s="20" t="s">
        <v>5</v>
      </c>
      <c r="AM1282" s="20" t="s">
        <v>46</v>
      </c>
      <c r="AN1282" s="21">
        <v>17284.0</v>
      </c>
      <c r="AO1282" s="21">
        <v>20.0</v>
      </c>
      <c r="AP1282" s="20">
        <v>52932.0</v>
      </c>
      <c r="AQ1282" s="20">
        <v>1244.04</v>
      </c>
    </row>
    <row r="1283" ht="22.5" hidden="1" customHeight="1">
      <c r="AJ1283" s="20" t="s">
        <v>65</v>
      </c>
      <c r="AK1283" s="21">
        <v>5.0</v>
      </c>
      <c r="AL1283" s="20" t="s">
        <v>5</v>
      </c>
      <c r="AM1283" s="20" t="s">
        <v>52</v>
      </c>
      <c r="AN1283" s="21">
        <v>131972.0</v>
      </c>
      <c r="AO1283" s="21">
        <v>20.0</v>
      </c>
      <c r="AP1283" s="20">
        <v>50654.0</v>
      </c>
      <c r="AQ1283" s="20">
        <v>1244.89</v>
      </c>
    </row>
    <row r="1284" ht="22.5" hidden="1" customHeight="1">
      <c r="AJ1284" s="20" t="s">
        <v>65</v>
      </c>
      <c r="AK1284" s="21">
        <v>4.0</v>
      </c>
      <c r="AL1284" s="20" t="s">
        <v>4</v>
      </c>
      <c r="AM1284" s="20" t="s">
        <v>52</v>
      </c>
      <c r="AN1284" s="21">
        <v>33668.0</v>
      </c>
      <c r="AO1284" s="21">
        <v>10.0</v>
      </c>
      <c r="AP1284" s="20">
        <v>72379.0</v>
      </c>
      <c r="AQ1284" s="20">
        <v>1244.98</v>
      </c>
    </row>
    <row r="1285" ht="22.5" hidden="1" customHeight="1">
      <c r="AJ1285" s="20" t="s">
        <v>65</v>
      </c>
      <c r="AK1285" s="21">
        <v>4.0</v>
      </c>
      <c r="AL1285" s="20" t="s">
        <v>4</v>
      </c>
      <c r="AM1285" s="20" t="s">
        <v>51</v>
      </c>
      <c r="AN1285" s="21">
        <v>1412.0</v>
      </c>
      <c r="AO1285" s="21">
        <v>10.0</v>
      </c>
      <c r="AP1285" s="20">
        <v>72499.0</v>
      </c>
      <c r="AQ1285" s="20">
        <v>1245.63</v>
      </c>
    </row>
    <row r="1286" ht="22.5" hidden="1" customHeight="1">
      <c r="AJ1286" s="20" t="s">
        <v>65</v>
      </c>
      <c r="AK1286" s="21">
        <v>5.0</v>
      </c>
      <c r="AL1286" s="20" t="s">
        <v>5</v>
      </c>
      <c r="AM1286" s="20" t="s">
        <v>56</v>
      </c>
      <c r="AN1286" s="21">
        <v>33668.0</v>
      </c>
      <c r="AO1286" s="21">
        <v>20.0</v>
      </c>
      <c r="AP1286" s="20">
        <v>53728.0</v>
      </c>
      <c r="AQ1286" s="20">
        <v>1246.47</v>
      </c>
    </row>
    <row r="1287" ht="22.5" hidden="1" customHeight="1">
      <c r="AJ1287" s="20" t="s">
        <v>65</v>
      </c>
      <c r="AK1287" s="21">
        <v>5.0</v>
      </c>
      <c r="AL1287" s="20" t="s">
        <v>4</v>
      </c>
      <c r="AM1287" s="20" t="s">
        <v>48</v>
      </c>
      <c r="AN1287" s="21">
        <v>2948.0</v>
      </c>
      <c r="AO1287" s="21">
        <v>10.0</v>
      </c>
      <c r="AP1287" s="20">
        <v>54124.0</v>
      </c>
      <c r="AQ1287" s="20">
        <v>1246.68</v>
      </c>
    </row>
    <row r="1288" ht="22.5" hidden="1" customHeight="1">
      <c r="AJ1288" s="20" t="s">
        <v>65</v>
      </c>
      <c r="AK1288" s="21">
        <v>5.0</v>
      </c>
      <c r="AL1288" s="20" t="s">
        <v>4</v>
      </c>
      <c r="AM1288" s="20" t="s">
        <v>47</v>
      </c>
      <c r="AN1288" s="21">
        <v>1412.0</v>
      </c>
      <c r="AO1288" s="21">
        <v>10.0</v>
      </c>
      <c r="AP1288" s="20">
        <v>54844.0</v>
      </c>
      <c r="AQ1288" s="20">
        <v>1247.33</v>
      </c>
    </row>
    <row r="1289" ht="22.5" hidden="1" customHeight="1">
      <c r="AJ1289" s="20" t="s">
        <v>65</v>
      </c>
      <c r="AK1289" s="21">
        <v>5.0</v>
      </c>
      <c r="AL1289" s="20" t="s">
        <v>4</v>
      </c>
      <c r="AM1289" s="20" t="s">
        <v>55</v>
      </c>
      <c r="AN1289" s="21">
        <v>1924.0</v>
      </c>
      <c r="AO1289" s="21">
        <v>10.0</v>
      </c>
      <c r="AP1289" s="20">
        <v>56023.0</v>
      </c>
      <c r="AQ1289" s="20">
        <v>1247.53</v>
      </c>
    </row>
    <row r="1290" ht="22.5" hidden="1" customHeight="1">
      <c r="AJ1290" s="20" t="s">
        <v>65</v>
      </c>
      <c r="AK1290" s="21">
        <v>5.0</v>
      </c>
      <c r="AL1290" s="20" t="s">
        <v>3</v>
      </c>
      <c r="AM1290" s="20" t="s">
        <v>46</v>
      </c>
      <c r="AN1290" s="21">
        <v>1924.0</v>
      </c>
      <c r="AO1290" s="21">
        <v>20.0</v>
      </c>
      <c r="AP1290" s="20">
        <v>52932.0</v>
      </c>
      <c r="AQ1290" s="20">
        <v>1247.65</v>
      </c>
    </row>
    <row r="1291" ht="22.5" hidden="1" customHeight="1">
      <c r="AJ1291" s="20" t="s">
        <v>65</v>
      </c>
      <c r="AK1291" s="21">
        <v>5.0</v>
      </c>
      <c r="AL1291" s="20" t="s">
        <v>4</v>
      </c>
      <c r="AM1291" s="20" t="s">
        <v>52</v>
      </c>
      <c r="AN1291" s="21">
        <v>33668.0</v>
      </c>
      <c r="AO1291" s="21">
        <v>10.0</v>
      </c>
      <c r="AP1291" s="20">
        <v>50654.0</v>
      </c>
      <c r="AQ1291" s="20">
        <v>1248.45</v>
      </c>
    </row>
    <row r="1292" ht="22.5" hidden="1" customHeight="1">
      <c r="AJ1292" s="20" t="s">
        <v>65</v>
      </c>
      <c r="AK1292" s="21">
        <v>4.0</v>
      </c>
      <c r="AL1292" s="20" t="s">
        <v>4</v>
      </c>
      <c r="AM1292" s="20" t="s">
        <v>51</v>
      </c>
      <c r="AN1292" s="21">
        <v>1156.0</v>
      </c>
      <c r="AO1292" s="21">
        <v>10.0</v>
      </c>
      <c r="AP1292" s="20">
        <v>72499.0</v>
      </c>
      <c r="AQ1292" s="20">
        <v>1248.49</v>
      </c>
    </row>
    <row r="1293" ht="22.5" hidden="1" customHeight="1">
      <c r="AJ1293" s="20" t="s">
        <v>65</v>
      </c>
      <c r="AK1293" s="21">
        <v>4.0</v>
      </c>
      <c r="AL1293" s="20" t="s">
        <v>4</v>
      </c>
      <c r="AM1293" s="20" t="s">
        <v>46</v>
      </c>
      <c r="AN1293" s="21">
        <v>2948.0</v>
      </c>
      <c r="AO1293" s="21">
        <v>10.0</v>
      </c>
      <c r="AP1293" s="20">
        <v>73127.0</v>
      </c>
      <c r="AQ1293" s="20">
        <v>1248.92</v>
      </c>
    </row>
    <row r="1294" ht="22.5" hidden="1" customHeight="1">
      <c r="AJ1294" s="20" t="s">
        <v>65</v>
      </c>
      <c r="AK1294" s="21">
        <v>4.0</v>
      </c>
      <c r="AL1294" s="20" t="s">
        <v>4</v>
      </c>
      <c r="AM1294" s="20" t="s">
        <v>52</v>
      </c>
      <c r="AN1294" s="21">
        <v>1412.0</v>
      </c>
      <c r="AO1294" s="21">
        <v>10.0</v>
      </c>
      <c r="AP1294" s="20">
        <v>72379.0</v>
      </c>
      <c r="AQ1294" s="20">
        <v>1249.86</v>
      </c>
    </row>
    <row r="1295" ht="22.5" hidden="1" customHeight="1">
      <c r="AJ1295" s="20" t="s">
        <v>65</v>
      </c>
      <c r="AK1295" s="21">
        <v>5.0</v>
      </c>
      <c r="AL1295" s="20" t="s">
        <v>5</v>
      </c>
      <c r="AM1295" s="20" t="s">
        <v>46</v>
      </c>
      <c r="AN1295" s="21">
        <v>2948.0</v>
      </c>
      <c r="AO1295" s="21">
        <v>20.0</v>
      </c>
      <c r="AP1295" s="20">
        <v>52932.0</v>
      </c>
      <c r="AQ1295" s="20">
        <v>1250.38</v>
      </c>
    </row>
    <row r="1296" ht="22.5" hidden="1" customHeight="1">
      <c r="AJ1296" s="20" t="s">
        <v>65</v>
      </c>
      <c r="AK1296" s="21">
        <v>5.0</v>
      </c>
      <c r="AL1296" s="20" t="s">
        <v>2</v>
      </c>
      <c r="AM1296" s="20" t="s">
        <v>55</v>
      </c>
      <c r="AN1296" s="21">
        <v>1412.0</v>
      </c>
      <c r="AO1296" s="21">
        <v>10.0</v>
      </c>
      <c r="AP1296" s="20">
        <v>55987.0</v>
      </c>
      <c r="AQ1296" s="20">
        <v>1251.17</v>
      </c>
    </row>
    <row r="1297" ht="22.5" hidden="1" customHeight="1">
      <c r="AJ1297" s="20" t="s">
        <v>65</v>
      </c>
      <c r="AK1297" s="21">
        <v>4.0</v>
      </c>
      <c r="AL1297" s="20" t="s">
        <v>4</v>
      </c>
      <c r="AM1297" s="20" t="s">
        <v>48</v>
      </c>
      <c r="AN1297" s="21">
        <v>33668.0</v>
      </c>
      <c r="AO1297" s="21">
        <v>10.0</v>
      </c>
      <c r="AP1297" s="20">
        <v>75248.0</v>
      </c>
      <c r="AQ1297" s="20">
        <v>1251.21</v>
      </c>
    </row>
    <row r="1298" ht="22.5" hidden="1" customHeight="1">
      <c r="AJ1298" s="20" t="s">
        <v>65</v>
      </c>
      <c r="AK1298" s="21">
        <v>5.0</v>
      </c>
      <c r="AL1298" s="20" t="s">
        <v>4</v>
      </c>
      <c r="AM1298" s="20" t="s">
        <v>56</v>
      </c>
      <c r="AN1298" s="21">
        <v>4996.0</v>
      </c>
      <c r="AO1298" s="21">
        <v>10.0</v>
      </c>
      <c r="AP1298" s="20">
        <v>53728.0</v>
      </c>
      <c r="AQ1298" s="20">
        <v>1251.38</v>
      </c>
    </row>
    <row r="1299" ht="22.5" hidden="1" customHeight="1">
      <c r="AJ1299" s="20" t="s">
        <v>65</v>
      </c>
      <c r="AK1299" s="21">
        <v>5.0</v>
      </c>
      <c r="AL1299" s="20" t="s">
        <v>2</v>
      </c>
      <c r="AM1299" s="20" t="s">
        <v>51</v>
      </c>
      <c r="AN1299" s="21">
        <v>4996.0</v>
      </c>
      <c r="AO1299" s="21">
        <v>10.0</v>
      </c>
      <c r="AP1299" s="20">
        <v>51727.0</v>
      </c>
      <c r="AQ1299" s="20">
        <v>1251.42</v>
      </c>
    </row>
    <row r="1300" ht="22.5" hidden="1" customHeight="1">
      <c r="AJ1300" s="20" t="s">
        <v>65</v>
      </c>
      <c r="AK1300" s="21">
        <v>4.0</v>
      </c>
      <c r="AL1300" s="20" t="s">
        <v>4</v>
      </c>
      <c r="AM1300" s="20" t="s">
        <v>55</v>
      </c>
      <c r="AN1300" s="21">
        <v>131972.0</v>
      </c>
      <c r="AO1300" s="21">
        <v>10.0</v>
      </c>
      <c r="AP1300" s="20">
        <v>77903.0</v>
      </c>
      <c r="AQ1300" s="20">
        <v>1251.44</v>
      </c>
    </row>
    <row r="1301" ht="22.5" hidden="1" customHeight="1">
      <c r="AJ1301" s="20" t="s">
        <v>65</v>
      </c>
      <c r="AK1301" s="21">
        <v>5.0</v>
      </c>
      <c r="AL1301" s="20" t="s">
        <v>3</v>
      </c>
      <c r="AM1301" s="20" t="s">
        <v>50</v>
      </c>
      <c r="AN1301" s="21">
        <v>2948.0</v>
      </c>
      <c r="AO1301" s="21">
        <v>20.0</v>
      </c>
      <c r="AP1301" s="20">
        <v>53092.0</v>
      </c>
      <c r="AQ1301" s="20">
        <v>1251.49</v>
      </c>
    </row>
    <row r="1302" ht="22.5" hidden="1" customHeight="1">
      <c r="AJ1302" s="20" t="s">
        <v>65</v>
      </c>
      <c r="AK1302" s="21">
        <v>4.0</v>
      </c>
      <c r="AL1302" s="20" t="s">
        <v>4</v>
      </c>
      <c r="AM1302" s="20" t="s">
        <v>51</v>
      </c>
      <c r="AN1302" s="21">
        <v>1924.0</v>
      </c>
      <c r="AO1302" s="21">
        <v>10.0</v>
      </c>
      <c r="AP1302" s="20">
        <v>72499.0</v>
      </c>
      <c r="AQ1302" s="20">
        <v>1251.71</v>
      </c>
    </row>
    <row r="1303" ht="22.5" hidden="1" customHeight="1">
      <c r="AJ1303" s="20" t="s">
        <v>65</v>
      </c>
      <c r="AK1303" s="21">
        <v>5.0</v>
      </c>
      <c r="AL1303" s="20" t="s">
        <v>3</v>
      </c>
      <c r="AM1303" s="20" t="s">
        <v>56</v>
      </c>
      <c r="AN1303" s="21">
        <v>2948.0</v>
      </c>
      <c r="AO1303" s="21">
        <v>20.0</v>
      </c>
      <c r="AP1303" s="20">
        <v>53728.0</v>
      </c>
      <c r="AQ1303" s="20">
        <v>1252.11</v>
      </c>
    </row>
    <row r="1304" ht="22.5" hidden="1" customHeight="1">
      <c r="AJ1304" s="20" t="s">
        <v>65</v>
      </c>
      <c r="AK1304" s="21">
        <v>5.0</v>
      </c>
      <c r="AL1304" s="20" t="s">
        <v>4</v>
      </c>
      <c r="AM1304" s="20" t="s">
        <v>48</v>
      </c>
      <c r="AN1304" s="21">
        <v>17284.0</v>
      </c>
      <c r="AO1304" s="21">
        <v>10.0</v>
      </c>
      <c r="AP1304" s="20">
        <v>54114.0</v>
      </c>
      <c r="AQ1304" s="20">
        <v>1252.32</v>
      </c>
    </row>
    <row r="1305" ht="22.5" hidden="1" customHeight="1">
      <c r="AJ1305" s="20" t="s">
        <v>65</v>
      </c>
      <c r="AK1305" s="21">
        <v>5.0</v>
      </c>
      <c r="AL1305" s="20" t="s">
        <v>5</v>
      </c>
      <c r="AM1305" s="20" t="s">
        <v>47</v>
      </c>
      <c r="AN1305" s="21">
        <v>2948.0</v>
      </c>
      <c r="AO1305" s="21">
        <v>20.0</v>
      </c>
      <c r="AP1305" s="20">
        <v>54844.0</v>
      </c>
      <c r="AQ1305" s="20">
        <v>1252.62</v>
      </c>
    </row>
    <row r="1306" ht="22.5" hidden="1" customHeight="1">
      <c r="AJ1306" s="20" t="s">
        <v>65</v>
      </c>
      <c r="AK1306" s="21">
        <v>5.0</v>
      </c>
      <c r="AL1306" s="20" t="s">
        <v>5</v>
      </c>
      <c r="AM1306" s="20" t="s">
        <v>56</v>
      </c>
      <c r="AN1306" s="21">
        <v>17284.0</v>
      </c>
      <c r="AO1306" s="21">
        <v>20.0</v>
      </c>
      <c r="AP1306" s="20">
        <v>53728.0</v>
      </c>
      <c r="AQ1306" s="20">
        <v>1252.92</v>
      </c>
    </row>
    <row r="1307" ht="22.5" hidden="1" customHeight="1">
      <c r="AJ1307" s="20" t="s">
        <v>65</v>
      </c>
      <c r="AK1307" s="21">
        <v>5.0</v>
      </c>
      <c r="AL1307" s="20" t="s">
        <v>5</v>
      </c>
      <c r="AM1307" s="20" t="s">
        <v>47</v>
      </c>
      <c r="AN1307" s="21">
        <v>33668.0</v>
      </c>
      <c r="AO1307" s="21">
        <v>20.0</v>
      </c>
      <c r="AP1307" s="20">
        <v>54844.0</v>
      </c>
      <c r="AQ1307" s="20">
        <v>1253.14</v>
      </c>
    </row>
    <row r="1308" ht="22.5" hidden="1" customHeight="1">
      <c r="AJ1308" s="20" t="s">
        <v>65</v>
      </c>
      <c r="AK1308" s="21">
        <v>5.0</v>
      </c>
      <c r="AL1308" s="20" t="s">
        <v>2</v>
      </c>
      <c r="AM1308" s="20" t="s">
        <v>52</v>
      </c>
      <c r="AN1308" s="21">
        <v>1156.0</v>
      </c>
      <c r="AO1308" s="21">
        <v>10.0</v>
      </c>
      <c r="AP1308" s="20">
        <v>50654.0</v>
      </c>
      <c r="AQ1308" s="20">
        <v>1253.52</v>
      </c>
    </row>
    <row r="1309" ht="22.5" hidden="1" customHeight="1">
      <c r="AJ1309" s="20" t="s">
        <v>65</v>
      </c>
      <c r="AK1309" s="21">
        <v>5.0</v>
      </c>
      <c r="AL1309" s="20" t="s">
        <v>5</v>
      </c>
      <c r="AM1309" s="20" t="s">
        <v>50</v>
      </c>
      <c r="AN1309" s="21">
        <v>66436.0</v>
      </c>
      <c r="AO1309" s="21">
        <v>20.0</v>
      </c>
      <c r="AP1309" s="20">
        <v>53092.0</v>
      </c>
      <c r="AQ1309" s="20">
        <v>1253.72</v>
      </c>
    </row>
    <row r="1310" ht="22.5" hidden="1" customHeight="1">
      <c r="AJ1310" s="20" t="s">
        <v>65</v>
      </c>
      <c r="AK1310" s="21">
        <v>5.0</v>
      </c>
      <c r="AL1310" s="20" t="s">
        <v>5</v>
      </c>
      <c r="AM1310" s="20" t="s">
        <v>47</v>
      </c>
      <c r="AN1310" s="21">
        <v>1924.0</v>
      </c>
      <c r="AO1310" s="21">
        <v>20.0</v>
      </c>
      <c r="AP1310" s="20">
        <v>54844.0</v>
      </c>
      <c r="AQ1310" s="20">
        <v>1253.73</v>
      </c>
    </row>
    <row r="1311" ht="22.5" hidden="1" customHeight="1">
      <c r="AJ1311" s="20" t="s">
        <v>65</v>
      </c>
      <c r="AK1311" s="21">
        <v>5.0</v>
      </c>
      <c r="AL1311" s="20" t="s">
        <v>3</v>
      </c>
      <c r="AM1311" s="20" t="s">
        <v>46</v>
      </c>
      <c r="AN1311" s="21">
        <v>2948.0</v>
      </c>
      <c r="AO1311" s="21">
        <v>20.0</v>
      </c>
      <c r="AP1311" s="20">
        <v>52932.0</v>
      </c>
      <c r="AQ1311" s="20">
        <v>1254.25</v>
      </c>
    </row>
    <row r="1312" ht="22.5" hidden="1" customHeight="1">
      <c r="AJ1312" s="20" t="s">
        <v>65</v>
      </c>
      <c r="AK1312" s="21">
        <v>4.0</v>
      </c>
      <c r="AL1312" s="20" t="s">
        <v>4</v>
      </c>
      <c r="AM1312" s="20" t="s">
        <v>47</v>
      </c>
      <c r="AN1312" s="21">
        <v>131972.0</v>
      </c>
      <c r="AO1312" s="21">
        <v>10.0</v>
      </c>
      <c r="AP1312" s="20">
        <v>76359.0</v>
      </c>
      <c r="AQ1312" s="20">
        <v>1254.27</v>
      </c>
    </row>
    <row r="1313" ht="22.5" hidden="1" customHeight="1">
      <c r="AJ1313" s="20" t="s">
        <v>65</v>
      </c>
      <c r="AK1313" s="21">
        <v>5.0</v>
      </c>
      <c r="AL1313" s="20" t="s">
        <v>4</v>
      </c>
      <c r="AM1313" s="20" t="s">
        <v>47</v>
      </c>
      <c r="AN1313" s="21">
        <v>4996.0</v>
      </c>
      <c r="AO1313" s="21">
        <v>10.0</v>
      </c>
      <c r="AP1313" s="20">
        <v>54844.0</v>
      </c>
      <c r="AQ1313" s="20">
        <v>1255.03</v>
      </c>
    </row>
    <row r="1314" ht="22.5" hidden="1" customHeight="1">
      <c r="AJ1314" s="20" t="s">
        <v>65</v>
      </c>
      <c r="AK1314" s="21">
        <v>5.0</v>
      </c>
      <c r="AL1314" s="20" t="s">
        <v>5</v>
      </c>
      <c r="AM1314" s="20" t="s">
        <v>52</v>
      </c>
      <c r="AN1314" s="21">
        <v>2948.0</v>
      </c>
      <c r="AO1314" s="21">
        <v>20.0</v>
      </c>
      <c r="AP1314" s="20">
        <v>50654.0</v>
      </c>
      <c r="AQ1314" s="20">
        <v>1255.34</v>
      </c>
    </row>
    <row r="1315" ht="22.5" hidden="1" customHeight="1">
      <c r="AJ1315" s="20" t="s">
        <v>65</v>
      </c>
      <c r="AK1315" s="21">
        <v>5.0</v>
      </c>
      <c r="AL1315" s="20" t="s">
        <v>2</v>
      </c>
      <c r="AM1315" s="20" t="s">
        <v>52</v>
      </c>
      <c r="AN1315" s="21">
        <v>1924.0</v>
      </c>
      <c r="AO1315" s="21">
        <v>10.0</v>
      </c>
      <c r="AP1315" s="20">
        <v>50654.0</v>
      </c>
      <c r="AQ1315" s="20">
        <v>1256.96</v>
      </c>
    </row>
    <row r="1316" ht="22.5" hidden="1" customHeight="1">
      <c r="AJ1316" s="20" t="s">
        <v>65</v>
      </c>
      <c r="AK1316" s="21">
        <v>5.0</v>
      </c>
      <c r="AL1316" s="20" t="s">
        <v>5</v>
      </c>
      <c r="AM1316" s="20" t="s">
        <v>52</v>
      </c>
      <c r="AN1316" s="21">
        <v>1412.0</v>
      </c>
      <c r="AO1316" s="21">
        <v>20.0</v>
      </c>
      <c r="AP1316" s="20">
        <v>50804.0</v>
      </c>
      <c r="AQ1316" s="20">
        <v>1257.35</v>
      </c>
    </row>
    <row r="1317" ht="22.5" hidden="1" customHeight="1">
      <c r="AJ1317" s="20" t="s">
        <v>65</v>
      </c>
      <c r="AK1317" s="21">
        <v>5.0</v>
      </c>
      <c r="AL1317" s="20" t="s">
        <v>2</v>
      </c>
      <c r="AM1317" s="20" t="s">
        <v>56</v>
      </c>
      <c r="AN1317" s="21">
        <v>1924.0</v>
      </c>
      <c r="AO1317" s="21">
        <v>10.0</v>
      </c>
      <c r="AP1317" s="20">
        <v>53728.0</v>
      </c>
      <c r="AQ1317" s="20">
        <v>1258.42</v>
      </c>
    </row>
    <row r="1318" ht="22.5" hidden="1" customHeight="1">
      <c r="AJ1318" s="20" t="s">
        <v>65</v>
      </c>
      <c r="AK1318" s="21">
        <v>5.0</v>
      </c>
      <c r="AL1318" s="20" t="s">
        <v>4</v>
      </c>
      <c r="AM1318" s="20" t="s">
        <v>52</v>
      </c>
      <c r="AN1318" s="21">
        <v>17284.0</v>
      </c>
      <c r="AO1318" s="21">
        <v>10.0</v>
      </c>
      <c r="AP1318" s="20">
        <v>50804.0</v>
      </c>
      <c r="AQ1318" s="20">
        <v>1258.46</v>
      </c>
    </row>
    <row r="1319" ht="22.5" hidden="1" customHeight="1">
      <c r="AJ1319" s="20" t="s">
        <v>65</v>
      </c>
      <c r="AK1319" s="21">
        <v>5.0</v>
      </c>
      <c r="AL1319" s="20" t="s">
        <v>4</v>
      </c>
      <c r="AM1319" s="20" t="s">
        <v>47</v>
      </c>
      <c r="AN1319" s="21">
        <v>66436.0</v>
      </c>
      <c r="AO1319" s="21">
        <v>10.0</v>
      </c>
      <c r="AP1319" s="20">
        <v>54844.0</v>
      </c>
      <c r="AQ1319" s="20">
        <v>1258.73</v>
      </c>
    </row>
    <row r="1320" ht="22.5" hidden="1" customHeight="1">
      <c r="AJ1320" s="20" t="s">
        <v>65</v>
      </c>
      <c r="AK1320" s="21">
        <v>5.0</v>
      </c>
      <c r="AL1320" s="20" t="s">
        <v>4</v>
      </c>
      <c r="AM1320" s="20" t="s">
        <v>56</v>
      </c>
      <c r="AN1320" s="21">
        <v>66436.0</v>
      </c>
      <c r="AO1320" s="21">
        <v>10.0</v>
      </c>
      <c r="AP1320" s="20">
        <v>53728.0</v>
      </c>
      <c r="AQ1320" s="20">
        <v>1259.43</v>
      </c>
    </row>
    <row r="1321" ht="22.5" hidden="1" customHeight="1">
      <c r="AJ1321" s="20" t="s">
        <v>65</v>
      </c>
      <c r="AK1321" s="21">
        <v>5.0</v>
      </c>
      <c r="AL1321" s="20" t="s">
        <v>2</v>
      </c>
      <c r="AM1321" s="20" t="s">
        <v>55</v>
      </c>
      <c r="AN1321" s="21">
        <v>1156.0</v>
      </c>
      <c r="AO1321" s="21">
        <v>10.0</v>
      </c>
      <c r="AP1321" s="20">
        <v>56023.0</v>
      </c>
      <c r="AQ1321" s="20">
        <v>1259.76</v>
      </c>
    </row>
    <row r="1322" ht="22.5" hidden="1" customHeight="1">
      <c r="AJ1322" s="20" t="s">
        <v>65</v>
      </c>
      <c r="AK1322" s="21">
        <v>4.0</v>
      </c>
      <c r="AL1322" s="20" t="s">
        <v>4</v>
      </c>
      <c r="AM1322" s="20" t="s">
        <v>52</v>
      </c>
      <c r="AN1322" s="21">
        <v>2948.0</v>
      </c>
      <c r="AO1322" s="21">
        <v>10.0</v>
      </c>
      <c r="AP1322" s="20">
        <v>72379.0</v>
      </c>
      <c r="AQ1322" s="20">
        <v>1260.56</v>
      </c>
    </row>
    <row r="1323" ht="22.5" hidden="1" customHeight="1">
      <c r="AJ1323" s="20" t="s">
        <v>65</v>
      </c>
      <c r="AK1323" s="21">
        <v>5.0</v>
      </c>
      <c r="AL1323" s="20" t="s">
        <v>5</v>
      </c>
      <c r="AM1323" s="20" t="s">
        <v>50</v>
      </c>
      <c r="AN1323" s="21">
        <v>1412.0</v>
      </c>
      <c r="AO1323" s="21">
        <v>20.0</v>
      </c>
      <c r="AP1323" s="20">
        <v>53706.0</v>
      </c>
      <c r="AQ1323" s="20">
        <v>1260.66</v>
      </c>
    </row>
    <row r="1324" ht="22.5" hidden="1" customHeight="1">
      <c r="AJ1324" s="20" t="s">
        <v>65</v>
      </c>
      <c r="AK1324" s="21">
        <v>4.0</v>
      </c>
      <c r="AL1324" s="20" t="s">
        <v>4</v>
      </c>
      <c r="AM1324" s="20" t="s">
        <v>50</v>
      </c>
      <c r="AN1324" s="21">
        <v>4996.0</v>
      </c>
      <c r="AO1324" s="21">
        <v>10.0</v>
      </c>
      <c r="AP1324" s="20">
        <v>76535.0</v>
      </c>
      <c r="AQ1324" s="20">
        <v>1260.72</v>
      </c>
    </row>
    <row r="1325" ht="22.5" hidden="1" customHeight="1">
      <c r="AJ1325" s="20" t="s">
        <v>65</v>
      </c>
      <c r="AK1325" s="21">
        <v>4.0</v>
      </c>
      <c r="AL1325" s="20" t="s">
        <v>4</v>
      </c>
      <c r="AM1325" s="20" t="s">
        <v>46</v>
      </c>
      <c r="AN1325" s="21">
        <v>4996.0</v>
      </c>
      <c r="AO1325" s="21">
        <v>10.0</v>
      </c>
      <c r="AP1325" s="20">
        <v>73127.0</v>
      </c>
      <c r="AQ1325" s="20">
        <v>1260.82</v>
      </c>
    </row>
    <row r="1326" ht="22.5" hidden="1" customHeight="1">
      <c r="AJ1326" s="20" t="s">
        <v>65</v>
      </c>
      <c r="AK1326" s="21">
        <v>5.0</v>
      </c>
      <c r="AL1326" s="20" t="s">
        <v>2</v>
      </c>
      <c r="AM1326" s="20" t="s">
        <v>56</v>
      </c>
      <c r="AN1326" s="21">
        <v>4996.0</v>
      </c>
      <c r="AO1326" s="21">
        <v>10.0</v>
      </c>
      <c r="AP1326" s="20">
        <v>53728.0</v>
      </c>
      <c r="AQ1326" s="20">
        <v>1261.59</v>
      </c>
    </row>
    <row r="1327" ht="22.5" hidden="1" customHeight="1">
      <c r="AJ1327" s="20" t="s">
        <v>65</v>
      </c>
      <c r="AK1327" s="21">
        <v>5.0</v>
      </c>
      <c r="AL1327" s="20" t="s">
        <v>5</v>
      </c>
      <c r="AM1327" s="20" t="s">
        <v>55</v>
      </c>
      <c r="AN1327" s="21">
        <v>9092.0</v>
      </c>
      <c r="AO1327" s="21">
        <v>20.0</v>
      </c>
      <c r="AP1327" s="20">
        <v>56023.0</v>
      </c>
      <c r="AQ1327" s="20">
        <v>1262.9</v>
      </c>
    </row>
    <row r="1328" ht="22.5" hidden="1" customHeight="1">
      <c r="AJ1328" s="20" t="s">
        <v>65</v>
      </c>
      <c r="AK1328" s="21">
        <v>5.0</v>
      </c>
      <c r="AL1328" s="20" t="s">
        <v>3</v>
      </c>
      <c r="AM1328" s="20" t="s">
        <v>55</v>
      </c>
      <c r="AN1328" s="21">
        <v>1156.0</v>
      </c>
      <c r="AO1328" s="21">
        <v>20.0</v>
      </c>
      <c r="AP1328" s="20">
        <v>56023.0</v>
      </c>
      <c r="AQ1328" s="20">
        <v>1263.44</v>
      </c>
    </row>
    <row r="1329" ht="22.5" hidden="1" customHeight="1">
      <c r="AJ1329" s="20" t="s">
        <v>65</v>
      </c>
      <c r="AK1329" s="21">
        <v>5.0</v>
      </c>
      <c r="AL1329" s="20" t="s">
        <v>5</v>
      </c>
      <c r="AM1329" s="20" t="s">
        <v>52</v>
      </c>
      <c r="AN1329" s="21">
        <v>1156.0</v>
      </c>
      <c r="AO1329" s="21">
        <v>20.0</v>
      </c>
      <c r="AP1329" s="20">
        <v>50654.0</v>
      </c>
      <c r="AQ1329" s="20">
        <v>1264.08</v>
      </c>
    </row>
    <row r="1330" ht="22.5" hidden="1" customHeight="1">
      <c r="AJ1330" s="20" t="s">
        <v>65</v>
      </c>
      <c r="AK1330" s="21">
        <v>5.0</v>
      </c>
      <c r="AL1330" s="20" t="s">
        <v>5</v>
      </c>
      <c r="AM1330" s="20" t="s">
        <v>47</v>
      </c>
      <c r="AN1330" s="21">
        <v>1412.0</v>
      </c>
      <c r="AO1330" s="21">
        <v>20.0</v>
      </c>
      <c r="AP1330" s="20">
        <v>54844.0</v>
      </c>
      <c r="AQ1330" s="20">
        <v>1264.7</v>
      </c>
    </row>
    <row r="1331" ht="22.5" hidden="1" customHeight="1">
      <c r="AJ1331" s="20" t="s">
        <v>65</v>
      </c>
      <c r="AK1331" s="21">
        <v>5.0</v>
      </c>
      <c r="AL1331" s="20" t="s">
        <v>4</v>
      </c>
      <c r="AM1331" s="20" t="s">
        <v>54</v>
      </c>
      <c r="AN1331" s="21">
        <v>17284.0</v>
      </c>
      <c r="AO1331" s="21">
        <v>10.0</v>
      </c>
      <c r="AP1331" s="20">
        <v>50445.0</v>
      </c>
      <c r="AQ1331" s="20">
        <v>1265.19</v>
      </c>
    </row>
    <row r="1332" ht="22.5" hidden="1" customHeight="1">
      <c r="AJ1332" s="20" t="s">
        <v>65</v>
      </c>
      <c r="AK1332" s="21">
        <v>5.0</v>
      </c>
      <c r="AL1332" s="20" t="s">
        <v>5</v>
      </c>
      <c r="AM1332" s="20" t="s">
        <v>51</v>
      </c>
      <c r="AN1332" s="21">
        <v>1412.0</v>
      </c>
      <c r="AO1332" s="21">
        <v>20.0</v>
      </c>
      <c r="AP1332" s="20">
        <v>51727.0</v>
      </c>
      <c r="AQ1332" s="20">
        <v>1266.64</v>
      </c>
    </row>
    <row r="1333" ht="22.5" hidden="1" customHeight="1">
      <c r="AJ1333" s="20" t="s">
        <v>65</v>
      </c>
      <c r="AK1333" s="21">
        <v>5.0</v>
      </c>
      <c r="AL1333" s="20" t="s">
        <v>4</v>
      </c>
      <c r="AM1333" s="20" t="s">
        <v>53</v>
      </c>
      <c r="AN1333" s="21">
        <v>9092.0</v>
      </c>
      <c r="AO1333" s="21">
        <v>10.0</v>
      </c>
      <c r="AP1333" s="20">
        <v>46068.0</v>
      </c>
      <c r="AQ1333" s="20">
        <v>1266.68</v>
      </c>
    </row>
    <row r="1334" ht="22.5" hidden="1" customHeight="1">
      <c r="AJ1334" s="20" t="s">
        <v>65</v>
      </c>
      <c r="AK1334" s="21">
        <v>4.0</v>
      </c>
      <c r="AL1334" s="20" t="s">
        <v>4</v>
      </c>
      <c r="AM1334" s="20" t="s">
        <v>46</v>
      </c>
      <c r="AN1334" s="21">
        <v>17284.0</v>
      </c>
      <c r="AO1334" s="21">
        <v>10.0</v>
      </c>
      <c r="AP1334" s="20">
        <v>73127.0</v>
      </c>
      <c r="AQ1334" s="20">
        <v>1266.87</v>
      </c>
    </row>
    <row r="1335" ht="22.5" hidden="1" customHeight="1">
      <c r="AJ1335" s="20" t="s">
        <v>65</v>
      </c>
      <c r="AK1335" s="21">
        <v>4.0</v>
      </c>
      <c r="AL1335" s="20" t="s">
        <v>4</v>
      </c>
      <c r="AM1335" s="20" t="s">
        <v>52</v>
      </c>
      <c r="AN1335" s="21">
        <v>131972.0</v>
      </c>
      <c r="AO1335" s="21">
        <v>10.0</v>
      </c>
      <c r="AP1335" s="20">
        <v>72379.0</v>
      </c>
      <c r="AQ1335" s="20">
        <v>1267.32</v>
      </c>
    </row>
    <row r="1336" ht="22.5" hidden="1" customHeight="1">
      <c r="AJ1336" s="20" t="s">
        <v>65</v>
      </c>
      <c r="AK1336" s="21">
        <v>5.0</v>
      </c>
      <c r="AL1336" s="20" t="s">
        <v>3</v>
      </c>
      <c r="AM1336" s="20" t="s">
        <v>47</v>
      </c>
      <c r="AN1336" s="21">
        <v>2948.0</v>
      </c>
      <c r="AO1336" s="21">
        <v>20.0</v>
      </c>
      <c r="AP1336" s="20">
        <v>54844.0</v>
      </c>
      <c r="AQ1336" s="20">
        <v>1267.58</v>
      </c>
    </row>
    <row r="1337" ht="22.5" hidden="1" customHeight="1">
      <c r="AJ1337" s="20" t="s">
        <v>65</v>
      </c>
      <c r="AK1337" s="21">
        <v>5.0</v>
      </c>
      <c r="AL1337" s="20" t="s">
        <v>2</v>
      </c>
      <c r="AM1337" s="20" t="s">
        <v>52</v>
      </c>
      <c r="AN1337" s="21">
        <v>2948.0</v>
      </c>
      <c r="AO1337" s="21">
        <v>10.0</v>
      </c>
      <c r="AP1337" s="20">
        <v>50654.0</v>
      </c>
      <c r="AQ1337" s="20">
        <v>1267.63</v>
      </c>
    </row>
    <row r="1338" ht="22.5" hidden="1" customHeight="1">
      <c r="AJ1338" s="20" t="s">
        <v>65</v>
      </c>
      <c r="AK1338" s="21">
        <v>5.0</v>
      </c>
      <c r="AL1338" s="20" t="s">
        <v>5</v>
      </c>
      <c r="AM1338" s="20" t="s">
        <v>55</v>
      </c>
      <c r="AN1338" s="21">
        <v>131972.0</v>
      </c>
      <c r="AO1338" s="21">
        <v>20.0</v>
      </c>
      <c r="AP1338" s="20">
        <v>56023.0</v>
      </c>
      <c r="AQ1338" s="20">
        <v>1267.79</v>
      </c>
    </row>
    <row r="1339" ht="22.5" hidden="1" customHeight="1">
      <c r="AJ1339" s="20" t="s">
        <v>65</v>
      </c>
      <c r="AK1339" s="21">
        <v>4.0</v>
      </c>
      <c r="AL1339" s="20" t="s">
        <v>4</v>
      </c>
      <c r="AM1339" s="20" t="s">
        <v>55</v>
      </c>
      <c r="AN1339" s="21">
        <v>2948.0</v>
      </c>
      <c r="AO1339" s="21">
        <v>10.0</v>
      </c>
      <c r="AP1339" s="20">
        <v>77883.0</v>
      </c>
      <c r="AQ1339" s="20">
        <v>1267.88</v>
      </c>
    </row>
    <row r="1340" ht="22.5" hidden="1" customHeight="1">
      <c r="AJ1340" s="20" t="s">
        <v>65</v>
      </c>
      <c r="AK1340" s="21">
        <v>5.0</v>
      </c>
      <c r="AL1340" s="20" t="s">
        <v>4</v>
      </c>
      <c r="AM1340" s="20" t="s">
        <v>47</v>
      </c>
      <c r="AN1340" s="21">
        <v>9092.0</v>
      </c>
      <c r="AO1340" s="21">
        <v>10.0</v>
      </c>
      <c r="AP1340" s="20">
        <v>54946.0</v>
      </c>
      <c r="AQ1340" s="20">
        <v>1268.71</v>
      </c>
    </row>
    <row r="1341" ht="22.5" hidden="1" customHeight="1">
      <c r="AJ1341" s="20" t="s">
        <v>65</v>
      </c>
      <c r="AK1341" s="21">
        <v>5.0</v>
      </c>
      <c r="AL1341" s="20" t="s">
        <v>4</v>
      </c>
      <c r="AM1341" s="20" t="s">
        <v>54</v>
      </c>
      <c r="AN1341" s="21">
        <v>9092.0</v>
      </c>
      <c r="AO1341" s="21">
        <v>10.0</v>
      </c>
      <c r="AP1341" s="20">
        <v>50404.0</v>
      </c>
      <c r="AQ1341" s="20">
        <v>1270.28</v>
      </c>
    </row>
    <row r="1342" ht="22.5" hidden="1" customHeight="1">
      <c r="AJ1342" s="20" t="s">
        <v>65</v>
      </c>
      <c r="AK1342" s="21">
        <v>5.0</v>
      </c>
      <c r="AL1342" s="20" t="s">
        <v>5</v>
      </c>
      <c r="AM1342" s="20" t="s">
        <v>48</v>
      </c>
      <c r="AN1342" s="21">
        <v>1156.0</v>
      </c>
      <c r="AO1342" s="21">
        <v>20.0</v>
      </c>
      <c r="AP1342" s="20">
        <v>54044.0</v>
      </c>
      <c r="AQ1342" s="20">
        <v>1271.21</v>
      </c>
    </row>
    <row r="1343" ht="22.5" hidden="1" customHeight="1">
      <c r="AJ1343" s="20" t="s">
        <v>65</v>
      </c>
      <c r="AK1343" s="21">
        <v>5.0</v>
      </c>
      <c r="AL1343" s="20" t="s">
        <v>2</v>
      </c>
      <c r="AM1343" s="20" t="s">
        <v>52</v>
      </c>
      <c r="AN1343" s="21">
        <v>1412.0</v>
      </c>
      <c r="AO1343" s="21">
        <v>10.0</v>
      </c>
      <c r="AP1343" s="20">
        <v>50804.0</v>
      </c>
      <c r="AQ1343" s="20">
        <v>1271.47</v>
      </c>
    </row>
    <row r="1344" ht="22.5" hidden="1" customHeight="1">
      <c r="AJ1344" s="20" t="s">
        <v>65</v>
      </c>
      <c r="AK1344" s="21">
        <v>5.0</v>
      </c>
      <c r="AL1344" s="20" t="s">
        <v>5</v>
      </c>
      <c r="AM1344" s="20" t="s">
        <v>48</v>
      </c>
      <c r="AN1344" s="21">
        <v>2948.0</v>
      </c>
      <c r="AO1344" s="21">
        <v>20.0</v>
      </c>
      <c r="AP1344" s="20">
        <v>54124.0</v>
      </c>
      <c r="AQ1344" s="20">
        <v>1272.87</v>
      </c>
    </row>
    <row r="1345" ht="22.5" hidden="1" customHeight="1">
      <c r="AJ1345" s="20" t="s">
        <v>65</v>
      </c>
      <c r="AK1345" s="21">
        <v>5.0</v>
      </c>
      <c r="AL1345" s="20" t="s">
        <v>3</v>
      </c>
      <c r="AM1345" s="20" t="s">
        <v>52</v>
      </c>
      <c r="AN1345" s="21">
        <v>1924.0</v>
      </c>
      <c r="AO1345" s="21">
        <v>20.0</v>
      </c>
      <c r="AP1345" s="20">
        <v>50654.0</v>
      </c>
      <c r="AQ1345" s="20">
        <v>1273.14</v>
      </c>
    </row>
    <row r="1346" ht="22.5" hidden="1" customHeight="1">
      <c r="AJ1346" s="20" t="s">
        <v>65</v>
      </c>
      <c r="AK1346" s="21">
        <v>5.0</v>
      </c>
      <c r="AL1346" s="20" t="s">
        <v>4</v>
      </c>
      <c r="AM1346" s="20" t="s">
        <v>54</v>
      </c>
      <c r="AN1346" s="21">
        <v>131972.0</v>
      </c>
      <c r="AO1346" s="21">
        <v>10.0</v>
      </c>
      <c r="AP1346" s="20">
        <v>50424.0</v>
      </c>
      <c r="AQ1346" s="20">
        <v>1273.26</v>
      </c>
    </row>
    <row r="1347" ht="22.5" hidden="1" customHeight="1">
      <c r="AJ1347" s="20" t="s">
        <v>65</v>
      </c>
      <c r="AK1347" s="21">
        <v>5.0</v>
      </c>
      <c r="AL1347" s="20" t="s">
        <v>5</v>
      </c>
      <c r="AM1347" s="20" t="s">
        <v>56</v>
      </c>
      <c r="AN1347" s="21">
        <v>4996.0</v>
      </c>
      <c r="AO1347" s="21">
        <v>20.0</v>
      </c>
      <c r="AP1347" s="20">
        <v>53728.0</v>
      </c>
      <c r="AQ1347" s="20">
        <v>1273.72</v>
      </c>
    </row>
    <row r="1348" ht="22.5" hidden="1" customHeight="1">
      <c r="AJ1348" s="20" t="s">
        <v>65</v>
      </c>
      <c r="AK1348" s="21">
        <v>5.0</v>
      </c>
      <c r="AL1348" s="20" t="s">
        <v>5</v>
      </c>
      <c r="AM1348" s="20" t="s">
        <v>55</v>
      </c>
      <c r="AN1348" s="21">
        <v>1156.0</v>
      </c>
      <c r="AO1348" s="21">
        <v>20.0</v>
      </c>
      <c r="AP1348" s="20">
        <v>56023.0</v>
      </c>
      <c r="AQ1348" s="20">
        <v>1274.39</v>
      </c>
    </row>
    <row r="1349" ht="22.5" hidden="1" customHeight="1">
      <c r="AJ1349" s="20" t="s">
        <v>65</v>
      </c>
      <c r="AK1349" s="21">
        <v>5.0</v>
      </c>
      <c r="AL1349" s="20" t="s">
        <v>5</v>
      </c>
      <c r="AM1349" s="20" t="s">
        <v>52</v>
      </c>
      <c r="AN1349" s="21">
        <v>33668.0</v>
      </c>
      <c r="AO1349" s="21">
        <v>20.0</v>
      </c>
      <c r="AP1349" s="20">
        <v>50654.0</v>
      </c>
      <c r="AQ1349" s="20">
        <v>1274.71</v>
      </c>
    </row>
    <row r="1350" ht="22.5" hidden="1" customHeight="1">
      <c r="AJ1350" s="20" t="s">
        <v>65</v>
      </c>
      <c r="AK1350" s="21">
        <v>4.0</v>
      </c>
      <c r="AL1350" s="20" t="s">
        <v>4</v>
      </c>
      <c r="AM1350" s="20" t="s">
        <v>47</v>
      </c>
      <c r="AN1350" s="21">
        <v>33668.0</v>
      </c>
      <c r="AO1350" s="21">
        <v>10.0</v>
      </c>
      <c r="AP1350" s="20">
        <v>76359.0</v>
      </c>
      <c r="AQ1350" s="20">
        <v>1274.95</v>
      </c>
    </row>
    <row r="1351" ht="22.5" hidden="1" customHeight="1">
      <c r="AJ1351" s="20" t="s">
        <v>65</v>
      </c>
      <c r="AK1351" s="21">
        <v>5.0</v>
      </c>
      <c r="AL1351" s="20" t="s">
        <v>2</v>
      </c>
      <c r="AM1351" s="20" t="s">
        <v>50</v>
      </c>
      <c r="AN1351" s="21">
        <v>1412.0</v>
      </c>
      <c r="AO1351" s="21">
        <v>10.0</v>
      </c>
      <c r="AP1351" s="20">
        <v>53706.0</v>
      </c>
      <c r="AQ1351" s="20">
        <v>1275.99</v>
      </c>
    </row>
    <row r="1352" ht="22.5" hidden="1" customHeight="1">
      <c r="AJ1352" s="20" t="s">
        <v>65</v>
      </c>
      <c r="AK1352" s="21">
        <v>5.0</v>
      </c>
      <c r="AL1352" s="20" t="s">
        <v>3</v>
      </c>
      <c r="AM1352" s="20" t="s">
        <v>52</v>
      </c>
      <c r="AN1352" s="21">
        <v>1156.0</v>
      </c>
      <c r="AO1352" s="21">
        <v>20.0</v>
      </c>
      <c r="AP1352" s="20">
        <v>50654.0</v>
      </c>
      <c r="AQ1352" s="20">
        <v>1276.73</v>
      </c>
    </row>
    <row r="1353" ht="22.5" hidden="1" customHeight="1">
      <c r="AJ1353" s="20" t="s">
        <v>65</v>
      </c>
      <c r="AK1353" s="21">
        <v>4.0</v>
      </c>
      <c r="AL1353" s="20" t="s">
        <v>4</v>
      </c>
      <c r="AM1353" s="20" t="s">
        <v>48</v>
      </c>
      <c r="AN1353" s="21">
        <v>4996.0</v>
      </c>
      <c r="AO1353" s="21">
        <v>10.0</v>
      </c>
      <c r="AP1353" s="20">
        <v>75248.0</v>
      </c>
      <c r="AQ1353" s="20">
        <v>1276.88</v>
      </c>
    </row>
    <row r="1354" ht="22.5" hidden="1" customHeight="1">
      <c r="AJ1354" s="20" t="s">
        <v>65</v>
      </c>
      <c r="AK1354" s="21">
        <v>4.0</v>
      </c>
      <c r="AL1354" s="20" t="s">
        <v>4</v>
      </c>
      <c r="AM1354" s="20" t="s">
        <v>47</v>
      </c>
      <c r="AN1354" s="21">
        <v>17284.0</v>
      </c>
      <c r="AO1354" s="21">
        <v>10.0</v>
      </c>
      <c r="AP1354" s="20">
        <v>76359.0</v>
      </c>
      <c r="AQ1354" s="20">
        <v>1278.04</v>
      </c>
    </row>
    <row r="1355" ht="22.5" hidden="1" customHeight="1">
      <c r="AJ1355" s="20" t="s">
        <v>65</v>
      </c>
      <c r="AK1355" s="21">
        <v>4.0</v>
      </c>
      <c r="AL1355" s="20" t="s">
        <v>4</v>
      </c>
      <c r="AM1355" s="20" t="s">
        <v>47</v>
      </c>
      <c r="AN1355" s="21">
        <v>2948.0</v>
      </c>
      <c r="AO1355" s="21">
        <v>10.0</v>
      </c>
      <c r="AP1355" s="20">
        <v>76359.0</v>
      </c>
      <c r="AQ1355" s="20">
        <v>1279.38</v>
      </c>
    </row>
    <row r="1356" ht="22.5" hidden="1" customHeight="1">
      <c r="AJ1356" s="20" t="s">
        <v>65</v>
      </c>
      <c r="AK1356" s="21">
        <v>4.0</v>
      </c>
      <c r="AL1356" s="20" t="s">
        <v>4</v>
      </c>
      <c r="AM1356" s="20" t="s">
        <v>53</v>
      </c>
      <c r="AN1356" s="21">
        <v>66436.0</v>
      </c>
      <c r="AO1356" s="21">
        <v>10.0</v>
      </c>
      <c r="AP1356" s="20">
        <v>64701.0</v>
      </c>
      <c r="AQ1356" s="20">
        <v>1279.61</v>
      </c>
    </row>
    <row r="1357" ht="22.5" hidden="1" customHeight="1">
      <c r="AJ1357" s="20" t="s">
        <v>65</v>
      </c>
      <c r="AK1357" s="21">
        <v>4.0</v>
      </c>
      <c r="AL1357" s="20" t="s">
        <v>4</v>
      </c>
      <c r="AM1357" s="20" t="s">
        <v>55</v>
      </c>
      <c r="AN1357" s="21">
        <v>1924.0</v>
      </c>
      <c r="AO1357" s="21">
        <v>10.0</v>
      </c>
      <c r="AP1357" s="20">
        <v>77927.0</v>
      </c>
      <c r="AQ1357" s="20">
        <v>1279.77</v>
      </c>
    </row>
    <row r="1358" ht="22.5" hidden="1" customHeight="1">
      <c r="AJ1358" s="20" t="s">
        <v>65</v>
      </c>
      <c r="AK1358" s="21">
        <v>5.0</v>
      </c>
      <c r="AL1358" s="20" t="s">
        <v>3</v>
      </c>
      <c r="AM1358" s="20" t="s">
        <v>47</v>
      </c>
      <c r="AN1358" s="21">
        <v>1412.0</v>
      </c>
      <c r="AO1358" s="21">
        <v>20.0</v>
      </c>
      <c r="AP1358" s="20">
        <v>54844.0</v>
      </c>
      <c r="AQ1358" s="20">
        <v>1280.17</v>
      </c>
    </row>
    <row r="1359" ht="22.5" hidden="1" customHeight="1">
      <c r="AJ1359" s="20" t="s">
        <v>65</v>
      </c>
      <c r="AK1359" s="21">
        <v>5.0</v>
      </c>
      <c r="AL1359" s="20" t="s">
        <v>4</v>
      </c>
      <c r="AM1359" s="20" t="s">
        <v>55</v>
      </c>
      <c r="AN1359" s="21">
        <v>4996.0</v>
      </c>
      <c r="AO1359" s="21">
        <v>10.0</v>
      </c>
      <c r="AP1359" s="20">
        <v>55987.0</v>
      </c>
      <c r="AQ1359" s="20">
        <v>1280.48</v>
      </c>
    </row>
    <row r="1360" ht="22.5" hidden="1" customHeight="1">
      <c r="AJ1360" s="20" t="s">
        <v>65</v>
      </c>
      <c r="AK1360" s="21">
        <v>5.0</v>
      </c>
      <c r="AL1360" s="20" t="s">
        <v>4</v>
      </c>
      <c r="AM1360" s="20" t="s">
        <v>46</v>
      </c>
      <c r="AN1360" s="21">
        <v>9092.0</v>
      </c>
      <c r="AO1360" s="21">
        <v>10.0</v>
      </c>
      <c r="AP1360" s="20">
        <v>52932.0</v>
      </c>
      <c r="AQ1360" s="20">
        <v>1281.56</v>
      </c>
    </row>
    <row r="1361" ht="22.5" hidden="1" customHeight="1">
      <c r="AJ1361" s="20" t="s">
        <v>65</v>
      </c>
      <c r="AK1361" s="21">
        <v>5.0</v>
      </c>
      <c r="AL1361" s="20" t="s">
        <v>3</v>
      </c>
      <c r="AM1361" s="20" t="s">
        <v>56</v>
      </c>
      <c r="AN1361" s="21">
        <v>4996.0</v>
      </c>
      <c r="AO1361" s="21">
        <v>20.0</v>
      </c>
      <c r="AP1361" s="20">
        <v>53728.0</v>
      </c>
      <c r="AQ1361" s="20">
        <v>1281.71</v>
      </c>
    </row>
    <row r="1362" ht="22.5" hidden="1" customHeight="1">
      <c r="AJ1362" s="20" t="s">
        <v>65</v>
      </c>
      <c r="AK1362" s="21">
        <v>4.0</v>
      </c>
      <c r="AL1362" s="20" t="s">
        <v>4</v>
      </c>
      <c r="AM1362" s="20" t="s">
        <v>48</v>
      </c>
      <c r="AN1362" s="21">
        <v>66436.0</v>
      </c>
      <c r="AO1362" s="21">
        <v>10.0</v>
      </c>
      <c r="AP1362" s="20">
        <v>75248.0</v>
      </c>
      <c r="AQ1362" s="20">
        <v>1281.94</v>
      </c>
    </row>
    <row r="1363" ht="22.5" hidden="1" customHeight="1">
      <c r="AJ1363" s="20" t="s">
        <v>65</v>
      </c>
      <c r="AK1363" s="21">
        <v>5.0</v>
      </c>
      <c r="AL1363" s="20" t="s">
        <v>4</v>
      </c>
      <c r="AM1363" s="20" t="s">
        <v>48</v>
      </c>
      <c r="AN1363" s="21">
        <v>1412.0</v>
      </c>
      <c r="AO1363" s="21">
        <v>10.0</v>
      </c>
      <c r="AP1363" s="20">
        <v>54114.0</v>
      </c>
      <c r="AQ1363" s="20">
        <v>1282.01</v>
      </c>
    </row>
    <row r="1364" ht="22.5" hidden="1" customHeight="1">
      <c r="AJ1364" s="20" t="s">
        <v>65</v>
      </c>
      <c r="AK1364" s="21">
        <v>5.0</v>
      </c>
      <c r="AL1364" s="20" t="s">
        <v>5</v>
      </c>
      <c r="AM1364" s="20" t="s">
        <v>52</v>
      </c>
      <c r="AN1364" s="21">
        <v>17284.0</v>
      </c>
      <c r="AO1364" s="21">
        <v>20.0</v>
      </c>
      <c r="AP1364" s="20">
        <v>50804.0</v>
      </c>
      <c r="AQ1364" s="20">
        <v>1282.29</v>
      </c>
    </row>
    <row r="1365" ht="22.5" hidden="1" customHeight="1">
      <c r="AJ1365" s="20" t="s">
        <v>65</v>
      </c>
      <c r="AK1365" s="21">
        <v>5.0</v>
      </c>
      <c r="AL1365" s="20" t="s">
        <v>2</v>
      </c>
      <c r="AM1365" s="20" t="s">
        <v>48</v>
      </c>
      <c r="AN1365" s="21">
        <v>2948.0</v>
      </c>
      <c r="AO1365" s="21">
        <v>10.0</v>
      </c>
      <c r="AP1365" s="20">
        <v>54124.0</v>
      </c>
      <c r="AQ1365" s="20">
        <v>1282.83</v>
      </c>
    </row>
    <row r="1366" ht="22.5" hidden="1" customHeight="1">
      <c r="AJ1366" s="20" t="s">
        <v>65</v>
      </c>
      <c r="AK1366" s="21">
        <v>5.0</v>
      </c>
      <c r="AL1366" s="20" t="s">
        <v>4</v>
      </c>
      <c r="AM1366" s="20" t="s">
        <v>53</v>
      </c>
      <c r="AN1366" s="21">
        <v>131972.0</v>
      </c>
      <c r="AO1366" s="21">
        <v>10.0</v>
      </c>
      <c r="AP1366" s="20">
        <v>45980.0</v>
      </c>
      <c r="AQ1366" s="20">
        <v>1282.87</v>
      </c>
    </row>
    <row r="1367" ht="22.5" hidden="1" customHeight="1">
      <c r="AJ1367" s="20" t="s">
        <v>65</v>
      </c>
      <c r="AK1367" s="21">
        <v>5.0</v>
      </c>
      <c r="AL1367" s="20" t="s">
        <v>5</v>
      </c>
      <c r="AM1367" s="20" t="s">
        <v>55</v>
      </c>
      <c r="AN1367" s="21">
        <v>1924.0</v>
      </c>
      <c r="AO1367" s="21">
        <v>20.0</v>
      </c>
      <c r="AP1367" s="20">
        <v>56023.0</v>
      </c>
      <c r="AQ1367" s="20">
        <v>1282.96</v>
      </c>
    </row>
    <row r="1368" ht="22.5" hidden="1" customHeight="1">
      <c r="AJ1368" s="20" t="s">
        <v>65</v>
      </c>
      <c r="AK1368" s="21">
        <v>4.0</v>
      </c>
      <c r="AL1368" s="20" t="s">
        <v>4</v>
      </c>
      <c r="AM1368" s="20" t="s">
        <v>48</v>
      </c>
      <c r="AN1368" s="21">
        <v>1924.0</v>
      </c>
      <c r="AO1368" s="21">
        <v>10.0</v>
      </c>
      <c r="AP1368" s="20">
        <v>75248.0</v>
      </c>
      <c r="AQ1368" s="20">
        <v>1283.53</v>
      </c>
    </row>
    <row r="1369" ht="22.5" hidden="1" customHeight="1">
      <c r="AJ1369" s="20" t="s">
        <v>65</v>
      </c>
      <c r="AK1369" s="21">
        <v>4.0</v>
      </c>
      <c r="AL1369" s="20" t="s">
        <v>4</v>
      </c>
      <c r="AM1369" s="20" t="s">
        <v>52</v>
      </c>
      <c r="AN1369" s="21">
        <v>9092.0</v>
      </c>
      <c r="AO1369" s="21">
        <v>10.0</v>
      </c>
      <c r="AP1369" s="20">
        <v>72379.0</v>
      </c>
      <c r="AQ1369" s="20">
        <v>1283.82</v>
      </c>
    </row>
    <row r="1370" ht="22.5" hidden="1" customHeight="1">
      <c r="AJ1370" s="20" t="s">
        <v>65</v>
      </c>
      <c r="AK1370" s="21">
        <v>4.0</v>
      </c>
      <c r="AL1370" s="20" t="s">
        <v>4</v>
      </c>
      <c r="AM1370" s="20" t="s">
        <v>56</v>
      </c>
      <c r="AN1370" s="21">
        <v>17284.0</v>
      </c>
      <c r="AO1370" s="21">
        <v>10.0</v>
      </c>
      <c r="AP1370" s="20">
        <v>76855.0</v>
      </c>
      <c r="AQ1370" s="20">
        <v>1285.18</v>
      </c>
    </row>
    <row r="1371" ht="22.5" hidden="1" customHeight="1">
      <c r="AJ1371" s="20" t="s">
        <v>65</v>
      </c>
      <c r="AK1371" s="21">
        <v>5.0</v>
      </c>
      <c r="AL1371" s="20" t="s">
        <v>5</v>
      </c>
      <c r="AM1371" s="20" t="s">
        <v>53</v>
      </c>
      <c r="AN1371" s="21">
        <v>9092.0</v>
      </c>
      <c r="AO1371" s="21">
        <v>20.0</v>
      </c>
      <c r="AP1371" s="20">
        <v>46068.0</v>
      </c>
      <c r="AQ1371" s="20">
        <v>1285.27</v>
      </c>
    </row>
    <row r="1372" ht="22.5" hidden="1" customHeight="1">
      <c r="AJ1372" s="20" t="s">
        <v>65</v>
      </c>
      <c r="AK1372" s="21">
        <v>5.0</v>
      </c>
      <c r="AL1372" s="20" t="s">
        <v>3</v>
      </c>
      <c r="AM1372" s="20" t="s">
        <v>47</v>
      </c>
      <c r="AN1372" s="21">
        <v>1924.0</v>
      </c>
      <c r="AO1372" s="21">
        <v>20.0</v>
      </c>
      <c r="AP1372" s="20">
        <v>54844.0</v>
      </c>
      <c r="AQ1372" s="20">
        <v>1286.04</v>
      </c>
    </row>
    <row r="1373" ht="22.5" hidden="1" customHeight="1">
      <c r="AJ1373" s="20" t="s">
        <v>65</v>
      </c>
      <c r="AK1373" s="21">
        <v>4.0</v>
      </c>
      <c r="AL1373" s="20" t="s">
        <v>4</v>
      </c>
      <c r="AM1373" s="20" t="s">
        <v>55</v>
      </c>
      <c r="AN1373" s="21">
        <v>9092.0</v>
      </c>
      <c r="AO1373" s="21">
        <v>10.0</v>
      </c>
      <c r="AP1373" s="20">
        <v>77941.0</v>
      </c>
      <c r="AQ1373" s="20">
        <v>1286.05</v>
      </c>
    </row>
    <row r="1374" ht="22.5" hidden="1" customHeight="1">
      <c r="AJ1374" s="20" t="s">
        <v>65</v>
      </c>
      <c r="AK1374" s="21">
        <v>5.0</v>
      </c>
      <c r="AL1374" s="20" t="s">
        <v>5</v>
      </c>
      <c r="AM1374" s="20" t="s">
        <v>52</v>
      </c>
      <c r="AN1374" s="21">
        <v>66436.0</v>
      </c>
      <c r="AO1374" s="21">
        <v>20.0</v>
      </c>
      <c r="AP1374" s="20">
        <v>50654.0</v>
      </c>
      <c r="AQ1374" s="20">
        <v>1286.33</v>
      </c>
    </row>
    <row r="1375" ht="22.5" hidden="1" customHeight="1">
      <c r="AJ1375" s="20" t="s">
        <v>65</v>
      </c>
      <c r="AK1375" s="21">
        <v>5.0</v>
      </c>
      <c r="AL1375" s="20" t="s">
        <v>4</v>
      </c>
      <c r="AM1375" s="20" t="s">
        <v>54</v>
      </c>
      <c r="AN1375" s="21">
        <v>1924.0</v>
      </c>
      <c r="AO1375" s="21">
        <v>10.0</v>
      </c>
      <c r="AP1375" s="20">
        <v>50404.0</v>
      </c>
      <c r="AQ1375" s="20">
        <v>1286.42</v>
      </c>
    </row>
    <row r="1376" ht="22.5" hidden="1" customHeight="1">
      <c r="AJ1376" s="20" t="s">
        <v>65</v>
      </c>
      <c r="AK1376" s="21">
        <v>4.0</v>
      </c>
      <c r="AL1376" s="20" t="s">
        <v>4</v>
      </c>
      <c r="AM1376" s="20" t="s">
        <v>53</v>
      </c>
      <c r="AN1376" s="21">
        <v>131972.0</v>
      </c>
      <c r="AO1376" s="21">
        <v>10.0</v>
      </c>
      <c r="AP1376" s="20">
        <v>64701.0</v>
      </c>
      <c r="AQ1376" s="20">
        <v>1286.5</v>
      </c>
    </row>
    <row r="1377" ht="22.5" hidden="1" customHeight="1">
      <c r="AJ1377" s="20" t="s">
        <v>65</v>
      </c>
      <c r="AK1377" s="21">
        <v>5.0</v>
      </c>
      <c r="AL1377" s="20" t="s">
        <v>3</v>
      </c>
      <c r="AM1377" s="20" t="s">
        <v>52</v>
      </c>
      <c r="AN1377" s="21">
        <v>2948.0</v>
      </c>
      <c r="AO1377" s="21">
        <v>20.0</v>
      </c>
      <c r="AP1377" s="20">
        <v>50654.0</v>
      </c>
      <c r="AQ1377" s="20">
        <v>1286.75</v>
      </c>
    </row>
    <row r="1378" ht="22.5" hidden="1" customHeight="1">
      <c r="AJ1378" s="20" t="s">
        <v>65</v>
      </c>
      <c r="AK1378" s="21">
        <v>5.0</v>
      </c>
      <c r="AL1378" s="20" t="s">
        <v>5</v>
      </c>
      <c r="AM1378" s="20" t="s">
        <v>47</v>
      </c>
      <c r="AN1378" s="21">
        <v>4996.0</v>
      </c>
      <c r="AO1378" s="21">
        <v>20.0</v>
      </c>
      <c r="AP1378" s="20">
        <v>54844.0</v>
      </c>
      <c r="AQ1378" s="20">
        <v>1287.28</v>
      </c>
    </row>
    <row r="1379" ht="22.5" hidden="1" customHeight="1">
      <c r="AJ1379" s="20" t="s">
        <v>65</v>
      </c>
      <c r="AK1379" s="21">
        <v>4.0</v>
      </c>
      <c r="AL1379" s="20" t="s">
        <v>4</v>
      </c>
      <c r="AM1379" s="20" t="s">
        <v>56</v>
      </c>
      <c r="AN1379" s="21">
        <v>9092.0</v>
      </c>
      <c r="AO1379" s="21">
        <v>10.0</v>
      </c>
      <c r="AP1379" s="20">
        <v>76855.0</v>
      </c>
      <c r="AQ1379" s="20">
        <v>1287.76</v>
      </c>
    </row>
    <row r="1380" ht="22.5" hidden="1" customHeight="1">
      <c r="AJ1380" s="20" t="s">
        <v>65</v>
      </c>
      <c r="AK1380" s="21">
        <v>5.0</v>
      </c>
      <c r="AL1380" s="20" t="s">
        <v>5</v>
      </c>
      <c r="AM1380" s="20" t="s">
        <v>56</v>
      </c>
      <c r="AN1380" s="21">
        <v>1924.0</v>
      </c>
      <c r="AO1380" s="21">
        <v>20.0</v>
      </c>
      <c r="AP1380" s="20">
        <v>53728.0</v>
      </c>
      <c r="AQ1380" s="20">
        <v>1287.98</v>
      </c>
    </row>
    <row r="1381" ht="22.5" hidden="1" customHeight="1">
      <c r="AJ1381" s="20" t="s">
        <v>65</v>
      </c>
      <c r="AK1381" s="21">
        <v>5.0</v>
      </c>
      <c r="AL1381" s="20" t="s">
        <v>3</v>
      </c>
      <c r="AM1381" s="20" t="s">
        <v>55</v>
      </c>
      <c r="AN1381" s="21">
        <v>1412.0</v>
      </c>
      <c r="AO1381" s="21">
        <v>20.0</v>
      </c>
      <c r="AP1381" s="20">
        <v>55987.0</v>
      </c>
      <c r="AQ1381" s="20">
        <v>1288.17</v>
      </c>
    </row>
    <row r="1382" ht="22.5" hidden="1" customHeight="1">
      <c r="AJ1382" s="20" t="s">
        <v>65</v>
      </c>
      <c r="AK1382" s="21">
        <v>5.0</v>
      </c>
      <c r="AL1382" s="20" t="s">
        <v>4</v>
      </c>
      <c r="AM1382" s="20" t="s">
        <v>53</v>
      </c>
      <c r="AN1382" s="21">
        <v>1924.0</v>
      </c>
      <c r="AO1382" s="21">
        <v>10.0</v>
      </c>
      <c r="AP1382" s="20">
        <v>45960.0</v>
      </c>
      <c r="AQ1382" s="20">
        <v>1288.41</v>
      </c>
    </row>
    <row r="1383" ht="22.5" hidden="1" customHeight="1">
      <c r="AJ1383" s="20" t="s">
        <v>65</v>
      </c>
      <c r="AK1383" s="21">
        <v>5.0</v>
      </c>
      <c r="AL1383" s="20" t="s">
        <v>2</v>
      </c>
      <c r="AM1383" s="20" t="s">
        <v>48</v>
      </c>
      <c r="AN1383" s="21">
        <v>1156.0</v>
      </c>
      <c r="AO1383" s="21">
        <v>10.0</v>
      </c>
      <c r="AP1383" s="20">
        <v>54044.0</v>
      </c>
      <c r="AQ1383" s="20">
        <v>1288.58</v>
      </c>
    </row>
    <row r="1384" ht="22.5" hidden="1" customHeight="1">
      <c r="AJ1384" s="20" t="s">
        <v>65</v>
      </c>
      <c r="AK1384" s="21">
        <v>5.0</v>
      </c>
      <c r="AL1384" s="20" t="s">
        <v>3</v>
      </c>
      <c r="AM1384" s="20" t="s">
        <v>56</v>
      </c>
      <c r="AN1384" s="21">
        <v>1924.0</v>
      </c>
      <c r="AO1384" s="21">
        <v>20.0</v>
      </c>
      <c r="AP1384" s="20">
        <v>53728.0</v>
      </c>
      <c r="AQ1384" s="20">
        <v>1289.11</v>
      </c>
    </row>
    <row r="1385" ht="22.5" hidden="1" customHeight="1">
      <c r="AJ1385" s="20" t="s">
        <v>65</v>
      </c>
      <c r="AK1385" s="21">
        <v>5.0</v>
      </c>
      <c r="AL1385" s="20" t="s">
        <v>5</v>
      </c>
      <c r="AM1385" s="20" t="s">
        <v>54</v>
      </c>
      <c r="AN1385" s="21">
        <v>9092.0</v>
      </c>
      <c r="AO1385" s="21">
        <v>20.0</v>
      </c>
      <c r="AP1385" s="20">
        <v>50404.0</v>
      </c>
      <c r="AQ1385" s="20">
        <v>1289.69</v>
      </c>
    </row>
    <row r="1386" ht="22.5" hidden="1" customHeight="1">
      <c r="AJ1386" s="20" t="s">
        <v>65</v>
      </c>
      <c r="AK1386" s="21">
        <v>4.0</v>
      </c>
      <c r="AL1386" s="20" t="s">
        <v>4</v>
      </c>
      <c r="AM1386" s="20" t="s">
        <v>52</v>
      </c>
      <c r="AN1386" s="21">
        <v>1924.0</v>
      </c>
      <c r="AO1386" s="21">
        <v>10.0</v>
      </c>
      <c r="AP1386" s="20">
        <v>72379.0</v>
      </c>
      <c r="AQ1386" s="20">
        <v>1289.72</v>
      </c>
    </row>
    <row r="1387" ht="22.5" hidden="1" customHeight="1">
      <c r="AJ1387" s="20" t="s">
        <v>65</v>
      </c>
      <c r="AK1387" s="21">
        <v>4.0</v>
      </c>
      <c r="AL1387" s="20" t="s">
        <v>4</v>
      </c>
      <c r="AM1387" s="20" t="s">
        <v>48</v>
      </c>
      <c r="AN1387" s="21">
        <v>2948.0</v>
      </c>
      <c r="AO1387" s="21">
        <v>10.0</v>
      </c>
      <c r="AP1387" s="20">
        <v>75248.0</v>
      </c>
      <c r="AQ1387" s="20">
        <v>1290.99</v>
      </c>
    </row>
    <row r="1388" ht="22.5" hidden="1" customHeight="1">
      <c r="AJ1388" s="20" t="s">
        <v>65</v>
      </c>
      <c r="AK1388" s="21">
        <v>4.0</v>
      </c>
      <c r="AL1388" s="20" t="s">
        <v>4</v>
      </c>
      <c r="AM1388" s="20" t="s">
        <v>48</v>
      </c>
      <c r="AN1388" s="21">
        <v>17284.0</v>
      </c>
      <c r="AO1388" s="21">
        <v>10.0</v>
      </c>
      <c r="AP1388" s="20">
        <v>75248.0</v>
      </c>
      <c r="AQ1388" s="20">
        <v>1291.06</v>
      </c>
    </row>
    <row r="1389" ht="22.5" hidden="1" customHeight="1">
      <c r="AJ1389" s="20" t="s">
        <v>65</v>
      </c>
      <c r="AK1389" s="21">
        <v>5.0</v>
      </c>
      <c r="AL1389" s="20" t="s">
        <v>2</v>
      </c>
      <c r="AM1389" s="20" t="s">
        <v>55</v>
      </c>
      <c r="AN1389" s="21">
        <v>1924.0</v>
      </c>
      <c r="AO1389" s="21">
        <v>10.0</v>
      </c>
      <c r="AP1389" s="20">
        <v>56023.0</v>
      </c>
      <c r="AQ1389" s="20">
        <v>1291.16</v>
      </c>
    </row>
    <row r="1390" ht="22.5" hidden="1" customHeight="1">
      <c r="AJ1390" s="20" t="s">
        <v>65</v>
      </c>
      <c r="AK1390" s="21">
        <v>5.0</v>
      </c>
      <c r="AL1390" s="20" t="s">
        <v>4</v>
      </c>
      <c r="AM1390" s="20" t="s">
        <v>48</v>
      </c>
      <c r="AN1390" s="21">
        <v>1924.0</v>
      </c>
      <c r="AO1390" s="21">
        <v>10.0</v>
      </c>
      <c r="AP1390" s="20">
        <v>54170.0</v>
      </c>
      <c r="AQ1390" s="20">
        <v>1291.27</v>
      </c>
    </row>
    <row r="1391" ht="22.5" hidden="1" customHeight="1">
      <c r="AJ1391" s="20" t="s">
        <v>65</v>
      </c>
      <c r="AK1391" s="21">
        <v>5.0</v>
      </c>
      <c r="AL1391" s="20" t="s">
        <v>3</v>
      </c>
      <c r="AM1391" s="20" t="s">
        <v>51</v>
      </c>
      <c r="AN1391" s="21">
        <v>1412.0</v>
      </c>
      <c r="AO1391" s="21">
        <v>20.0</v>
      </c>
      <c r="AP1391" s="20">
        <v>51727.0</v>
      </c>
      <c r="AQ1391" s="20">
        <v>1291.28</v>
      </c>
    </row>
    <row r="1392" ht="22.5" hidden="1" customHeight="1">
      <c r="AJ1392" s="20" t="s">
        <v>65</v>
      </c>
      <c r="AK1392" s="21">
        <v>4.0</v>
      </c>
      <c r="AL1392" s="20" t="s">
        <v>4</v>
      </c>
      <c r="AM1392" s="20" t="s">
        <v>47</v>
      </c>
      <c r="AN1392" s="21">
        <v>1156.0</v>
      </c>
      <c r="AO1392" s="21">
        <v>10.0</v>
      </c>
      <c r="AP1392" s="20">
        <v>76359.0</v>
      </c>
      <c r="AQ1392" s="20">
        <v>1291.37</v>
      </c>
    </row>
    <row r="1393" ht="22.5" hidden="1" customHeight="1">
      <c r="AJ1393" s="20" t="s">
        <v>65</v>
      </c>
      <c r="AK1393" s="21">
        <v>4.0</v>
      </c>
      <c r="AL1393" s="20" t="s">
        <v>4</v>
      </c>
      <c r="AM1393" s="20" t="s">
        <v>46</v>
      </c>
      <c r="AN1393" s="21">
        <v>33668.0</v>
      </c>
      <c r="AO1393" s="21">
        <v>10.0</v>
      </c>
      <c r="AP1393" s="20">
        <v>73127.0</v>
      </c>
      <c r="AQ1393" s="20">
        <v>1291.38</v>
      </c>
    </row>
    <row r="1394" ht="22.5" hidden="1" customHeight="1">
      <c r="AJ1394" s="20" t="s">
        <v>65</v>
      </c>
      <c r="AK1394" s="21">
        <v>5.0</v>
      </c>
      <c r="AL1394" s="20" t="s">
        <v>3</v>
      </c>
      <c r="AM1394" s="20" t="s">
        <v>52</v>
      </c>
      <c r="AN1394" s="21">
        <v>1412.0</v>
      </c>
      <c r="AO1394" s="21">
        <v>20.0</v>
      </c>
      <c r="AP1394" s="20">
        <v>50804.0</v>
      </c>
      <c r="AQ1394" s="20">
        <v>1292.22</v>
      </c>
    </row>
    <row r="1395" ht="22.5" hidden="1" customHeight="1">
      <c r="AJ1395" s="20" t="s">
        <v>65</v>
      </c>
      <c r="AK1395" s="21">
        <v>5.0</v>
      </c>
      <c r="AL1395" s="20" t="s">
        <v>5</v>
      </c>
      <c r="AM1395" s="20" t="s">
        <v>48</v>
      </c>
      <c r="AN1395" s="21">
        <v>17284.0</v>
      </c>
      <c r="AO1395" s="21">
        <v>20.0</v>
      </c>
      <c r="AP1395" s="20">
        <v>54114.0</v>
      </c>
      <c r="AQ1395" s="20">
        <v>1292.26</v>
      </c>
    </row>
    <row r="1396" ht="22.5" hidden="1" customHeight="1">
      <c r="AJ1396" s="20" t="s">
        <v>65</v>
      </c>
      <c r="AK1396" s="21">
        <v>5.0</v>
      </c>
      <c r="AL1396" s="20" t="s">
        <v>3</v>
      </c>
      <c r="AM1396" s="20" t="s">
        <v>48</v>
      </c>
      <c r="AN1396" s="21">
        <v>1156.0</v>
      </c>
      <c r="AO1396" s="21">
        <v>20.0</v>
      </c>
      <c r="AP1396" s="20">
        <v>54044.0</v>
      </c>
      <c r="AQ1396" s="20">
        <v>1292.79</v>
      </c>
    </row>
    <row r="1397" ht="22.5" hidden="1" customHeight="1">
      <c r="AJ1397" s="20" t="s">
        <v>65</v>
      </c>
      <c r="AK1397" s="21">
        <v>5.0</v>
      </c>
      <c r="AL1397" s="20" t="s">
        <v>5</v>
      </c>
      <c r="AM1397" s="20" t="s">
        <v>55</v>
      </c>
      <c r="AN1397" s="21">
        <v>1412.0</v>
      </c>
      <c r="AO1397" s="21">
        <v>20.0</v>
      </c>
      <c r="AP1397" s="20">
        <v>55987.0</v>
      </c>
      <c r="AQ1397" s="20">
        <v>1292.87</v>
      </c>
    </row>
    <row r="1398" ht="22.5" hidden="1" customHeight="1">
      <c r="AJ1398" s="20" t="s">
        <v>65</v>
      </c>
      <c r="AK1398" s="21">
        <v>5.0</v>
      </c>
      <c r="AL1398" s="20" t="s">
        <v>5</v>
      </c>
      <c r="AM1398" s="20" t="s">
        <v>56</v>
      </c>
      <c r="AN1398" s="21">
        <v>66436.0</v>
      </c>
      <c r="AO1398" s="21">
        <v>20.0</v>
      </c>
      <c r="AP1398" s="20">
        <v>53728.0</v>
      </c>
      <c r="AQ1398" s="20">
        <v>1293.28</v>
      </c>
    </row>
    <row r="1399" ht="22.5" hidden="1" customHeight="1">
      <c r="AJ1399" s="20" t="s">
        <v>65</v>
      </c>
      <c r="AK1399" s="21">
        <v>5.0</v>
      </c>
      <c r="AL1399" s="20" t="s">
        <v>3</v>
      </c>
      <c r="AM1399" s="20" t="s">
        <v>50</v>
      </c>
      <c r="AN1399" s="21">
        <v>1412.0</v>
      </c>
      <c r="AO1399" s="21">
        <v>20.0</v>
      </c>
      <c r="AP1399" s="20">
        <v>53706.0</v>
      </c>
      <c r="AQ1399" s="20">
        <v>1293.42</v>
      </c>
    </row>
    <row r="1400" ht="22.5" hidden="1" customHeight="1">
      <c r="AJ1400" s="20" t="s">
        <v>65</v>
      </c>
      <c r="AK1400" s="21">
        <v>5.0</v>
      </c>
      <c r="AL1400" s="20" t="s">
        <v>4</v>
      </c>
      <c r="AM1400" s="20" t="s">
        <v>56</v>
      </c>
      <c r="AN1400" s="21">
        <v>9092.0</v>
      </c>
      <c r="AO1400" s="21">
        <v>10.0</v>
      </c>
      <c r="AP1400" s="20">
        <v>53728.0</v>
      </c>
      <c r="AQ1400" s="20">
        <v>1295.04</v>
      </c>
    </row>
    <row r="1401" ht="22.5" hidden="1" customHeight="1">
      <c r="AJ1401" s="20" t="s">
        <v>65</v>
      </c>
      <c r="AK1401" s="21">
        <v>4.0</v>
      </c>
      <c r="AL1401" s="20" t="s">
        <v>4</v>
      </c>
      <c r="AM1401" s="20" t="s">
        <v>53</v>
      </c>
      <c r="AN1401" s="21">
        <v>1156.0</v>
      </c>
      <c r="AO1401" s="21">
        <v>10.0</v>
      </c>
      <c r="AP1401" s="20">
        <v>64718.0</v>
      </c>
      <c r="AQ1401" s="20">
        <v>1295.17</v>
      </c>
    </row>
    <row r="1402" ht="22.5" hidden="1" customHeight="1">
      <c r="AJ1402" s="20" t="s">
        <v>65</v>
      </c>
      <c r="AK1402" s="21">
        <v>5.0</v>
      </c>
      <c r="AL1402" s="20" t="s">
        <v>5</v>
      </c>
      <c r="AM1402" s="20" t="s">
        <v>47</v>
      </c>
      <c r="AN1402" s="21">
        <v>66436.0</v>
      </c>
      <c r="AO1402" s="21">
        <v>20.0</v>
      </c>
      <c r="AP1402" s="20">
        <v>54844.0</v>
      </c>
      <c r="AQ1402" s="20">
        <v>1295.6</v>
      </c>
    </row>
    <row r="1403" ht="22.5" hidden="1" customHeight="1">
      <c r="AJ1403" s="20" t="s">
        <v>65</v>
      </c>
      <c r="AK1403" s="21">
        <v>5.0</v>
      </c>
      <c r="AL1403" s="20" t="s">
        <v>4</v>
      </c>
      <c r="AM1403" s="20" t="s">
        <v>54</v>
      </c>
      <c r="AN1403" s="21">
        <v>1412.0</v>
      </c>
      <c r="AO1403" s="21">
        <v>10.0</v>
      </c>
      <c r="AP1403" s="20">
        <v>50424.0</v>
      </c>
      <c r="AQ1403" s="20">
        <v>1297.63</v>
      </c>
    </row>
    <row r="1404" ht="22.5" hidden="1" customHeight="1">
      <c r="AJ1404" s="20" t="s">
        <v>65</v>
      </c>
      <c r="AK1404" s="21">
        <v>5.0</v>
      </c>
      <c r="AL1404" s="20" t="s">
        <v>4</v>
      </c>
      <c r="AM1404" s="20" t="s">
        <v>47</v>
      </c>
      <c r="AN1404" s="21">
        <v>17284.0</v>
      </c>
      <c r="AO1404" s="21">
        <v>10.0</v>
      </c>
      <c r="AP1404" s="20">
        <v>54844.0</v>
      </c>
      <c r="AQ1404" s="20">
        <v>1298.4</v>
      </c>
    </row>
    <row r="1405" ht="22.5" hidden="1" customHeight="1">
      <c r="AJ1405" s="20" t="s">
        <v>65</v>
      </c>
      <c r="AK1405" s="21">
        <v>5.0</v>
      </c>
      <c r="AL1405" s="20" t="s">
        <v>3</v>
      </c>
      <c r="AM1405" s="20" t="s">
        <v>48</v>
      </c>
      <c r="AN1405" s="21">
        <v>2948.0</v>
      </c>
      <c r="AO1405" s="21">
        <v>20.0</v>
      </c>
      <c r="AP1405" s="20">
        <v>54124.0</v>
      </c>
      <c r="AQ1405" s="20">
        <v>1300.05</v>
      </c>
    </row>
    <row r="1406" ht="22.5" hidden="1" customHeight="1">
      <c r="AJ1406" s="20" t="s">
        <v>65</v>
      </c>
      <c r="AK1406" s="21">
        <v>5.0</v>
      </c>
      <c r="AL1406" s="20" t="s">
        <v>2</v>
      </c>
      <c r="AM1406" s="20" t="s">
        <v>47</v>
      </c>
      <c r="AN1406" s="21">
        <v>4996.0</v>
      </c>
      <c r="AO1406" s="21">
        <v>10.0</v>
      </c>
      <c r="AP1406" s="20">
        <v>54844.0</v>
      </c>
      <c r="AQ1406" s="20">
        <v>1300.23</v>
      </c>
    </row>
    <row r="1407" ht="22.5" hidden="1" customHeight="1">
      <c r="AJ1407" s="20" t="s">
        <v>65</v>
      </c>
      <c r="AK1407" s="21">
        <v>5.0</v>
      </c>
      <c r="AL1407" s="20" t="s">
        <v>4</v>
      </c>
      <c r="AM1407" s="20" t="s">
        <v>54</v>
      </c>
      <c r="AN1407" s="21">
        <v>2948.0</v>
      </c>
      <c r="AO1407" s="21">
        <v>10.0</v>
      </c>
      <c r="AP1407" s="20">
        <v>50424.0</v>
      </c>
      <c r="AQ1407" s="20">
        <v>1300.3</v>
      </c>
    </row>
    <row r="1408" ht="22.5" hidden="1" customHeight="1">
      <c r="AJ1408" s="20" t="s">
        <v>65</v>
      </c>
      <c r="AK1408" s="21">
        <v>4.0</v>
      </c>
      <c r="AL1408" s="20" t="s">
        <v>4</v>
      </c>
      <c r="AM1408" s="20" t="s">
        <v>53</v>
      </c>
      <c r="AN1408" s="21">
        <v>1924.0</v>
      </c>
      <c r="AO1408" s="21">
        <v>10.0</v>
      </c>
      <c r="AP1408" s="20">
        <v>64698.0</v>
      </c>
      <c r="AQ1408" s="20">
        <v>1301.18</v>
      </c>
    </row>
    <row r="1409" ht="22.5" hidden="1" customHeight="1">
      <c r="AJ1409" s="20" t="s">
        <v>65</v>
      </c>
      <c r="AK1409" s="21">
        <v>5.0</v>
      </c>
      <c r="AL1409" s="20" t="s">
        <v>5</v>
      </c>
      <c r="AM1409" s="20" t="s">
        <v>47</v>
      </c>
      <c r="AN1409" s="21">
        <v>9092.0</v>
      </c>
      <c r="AO1409" s="21">
        <v>20.0</v>
      </c>
      <c r="AP1409" s="20">
        <v>54946.0</v>
      </c>
      <c r="AQ1409" s="20">
        <v>1301.92</v>
      </c>
    </row>
    <row r="1410" ht="22.5" hidden="1" customHeight="1">
      <c r="AJ1410" s="20" t="s">
        <v>65</v>
      </c>
      <c r="AK1410" s="21">
        <v>4.0</v>
      </c>
      <c r="AL1410" s="20" t="s">
        <v>4</v>
      </c>
      <c r="AM1410" s="20" t="s">
        <v>48</v>
      </c>
      <c r="AN1410" s="21">
        <v>131972.0</v>
      </c>
      <c r="AO1410" s="21">
        <v>10.0</v>
      </c>
      <c r="AP1410" s="20">
        <v>75248.0</v>
      </c>
      <c r="AQ1410" s="20">
        <v>1302.3</v>
      </c>
    </row>
    <row r="1411" ht="22.5" hidden="1" customHeight="1">
      <c r="AJ1411" s="20" t="s">
        <v>65</v>
      </c>
      <c r="AK1411" s="21">
        <v>5.0</v>
      </c>
      <c r="AL1411" s="20" t="s">
        <v>2</v>
      </c>
      <c r="AM1411" s="20" t="s">
        <v>46</v>
      </c>
      <c r="AN1411" s="21">
        <v>1156.0</v>
      </c>
      <c r="AO1411" s="21">
        <v>10.0</v>
      </c>
      <c r="AP1411" s="20">
        <v>52932.0</v>
      </c>
      <c r="AQ1411" s="20">
        <v>1303.24</v>
      </c>
    </row>
    <row r="1412" ht="22.5" hidden="1" customHeight="1">
      <c r="AJ1412" s="20" t="s">
        <v>65</v>
      </c>
      <c r="AK1412" s="21">
        <v>5.0</v>
      </c>
      <c r="AL1412" s="20" t="s">
        <v>4</v>
      </c>
      <c r="AM1412" s="20" t="s">
        <v>53</v>
      </c>
      <c r="AN1412" s="21">
        <v>33668.0</v>
      </c>
      <c r="AO1412" s="21">
        <v>10.0</v>
      </c>
      <c r="AP1412" s="20">
        <v>46001.0</v>
      </c>
      <c r="AQ1412" s="20">
        <v>1303.41</v>
      </c>
    </row>
    <row r="1413" ht="22.5" hidden="1" customHeight="1">
      <c r="AJ1413" s="20" t="s">
        <v>65</v>
      </c>
      <c r="AK1413" s="21">
        <v>5.0</v>
      </c>
      <c r="AL1413" s="20" t="s">
        <v>3</v>
      </c>
      <c r="AM1413" s="20" t="s">
        <v>55</v>
      </c>
      <c r="AN1413" s="21">
        <v>1924.0</v>
      </c>
      <c r="AO1413" s="21">
        <v>20.0</v>
      </c>
      <c r="AP1413" s="20">
        <v>56023.0</v>
      </c>
      <c r="AQ1413" s="20">
        <v>1303.88</v>
      </c>
    </row>
    <row r="1414" ht="22.5" hidden="1" customHeight="1">
      <c r="AJ1414" s="20" t="s">
        <v>65</v>
      </c>
      <c r="AK1414" s="21">
        <v>4.0</v>
      </c>
      <c r="AL1414" s="20" t="s">
        <v>4</v>
      </c>
      <c r="AM1414" s="20" t="s">
        <v>55</v>
      </c>
      <c r="AN1414" s="21">
        <v>33668.0</v>
      </c>
      <c r="AO1414" s="21">
        <v>10.0</v>
      </c>
      <c r="AP1414" s="20">
        <v>77947.0</v>
      </c>
      <c r="AQ1414" s="20">
        <v>1304.76</v>
      </c>
    </row>
    <row r="1415" ht="22.5" hidden="1" customHeight="1">
      <c r="AJ1415" s="20" t="s">
        <v>65</v>
      </c>
      <c r="AK1415" s="21">
        <v>4.0</v>
      </c>
      <c r="AL1415" s="20" t="s">
        <v>4</v>
      </c>
      <c r="AM1415" s="20" t="s">
        <v>47</v>
      </c>
      <c r="AN1415" s="21">
        <v>66436.0</v>
      </c>
      <c r="AO1415" s="21">
        <v>10.0</v>
      </c>
      <c r="AP1415" s="20">
        <v>76359.0</v>
      </c>
      <c r="AQ1415" s="20">
        <v>1305.42</v>
      </c>
    </row>
    <row r="1416" ht="22.5" hidden="1" customHeight="1">
      <c r="AJ1416" s="20" t="s">
        <v>65</v>
      </c>
      <c r="AK1416" s="21">
        <v>5.0</v>
      </c>
      <c r="AL1416" s="20" t="s">
        <v>5</v>
      </c>
      <c r="AM1416" s="20" t="s">
        <v>48</v>
      </c>
      <c r="AN1416" s="21">
        <v>1412.0</v>
      </c>
      <c r="AO1416" s="21">
        <v>20.0</v>
      </c>
      <c r="AP1416" s="20">
        <v>54114.0</v>
      </c>
      <c r="AQ1416" s="20">
        <v>1306.53</v>
      </c>
    </row>
    <row r="1417" ht="22.5" hidden="1" customHeight="1">
      <c r="AJ1417" s="20" t="s">
        <v>65</v>
      </c>
      <c r="AK1417" s="21">
        <v>5.0</v>
      </c>
      <c r="AL1417" s="20" t="s">
        <v>4</v>
      </c>
      <c r="AM1417" s="20" t="s">
        <v>53</v>
      </c>
      <c r="AN1417" s="21">
        <v>1412.0</v>
      </c>
      <c r="AO1417" s="21">
        <v>10.0</v>
      </c>
      <c r="AP1417" s="20">
        <v>45960.0</v>
      </c>
      <c r="AQ1417" s="20">
        <v>1306.76</v>
      </c>
    </row>
    <row r="1418" ht="22.5" hidden="1" customHeight="1">
      <c r="AJ1418" s="20" t="s">
        <v>65</v>
      </c>
      <c r="AK1418" s="21">
        <v>5.0</v>
      </c>
      <c r="AL1418" s="20" t="s">
        <v>2</v>
      </c>
      <c r="AM1418" s="20" t="s">
        <v>54</v>
      </c>
      <c r="AN1418" s="21">
        <v>1412.0</v>
      </c>
      <c r="AO1418" s="21">
        <v>10.0</v>
      </c>
      <c r="AP1418" s="20">
        <v>50424.0</v>
      </c>
      <c r="AQ1418" s="20">
        <v>1307.63</v>
      </c>
    </row>
    <row r="1419" ht="22.5" hidden="1" customHeight="1">
      <c r="AJ1419" s="20" t="s">
        <v>65</v>
      </c>
      <c r="AK1419" s="21">
        <v>5.0</v>
      </c>
      <c r="AL1419" s="20" t="s">
        <v>2</v>
      </c>
      <c r="AM1419" s="20" t="s">
        <v>51</v>
      </c>
      <c r="AN1419" s="21">
        <v>1412.0</v>
      </c>
      <c r="AO1419" s="21">
        <v>10.0</v>
      </c>
      <c r="AP1419" s="20">
        <v>51727.0</v>
      </c>
      <c r="AQ1419" s="20">
        <v>1308.0</v>
      </c>
    </row>
    <row r="1420" ht="22.5" hidden="1" customHeight="1">
      <c r="AJ1420" s="20" t="s">
        <v>65</v>
      </c>
      <c r="AK1420" s="21">
        <v>5.0</v>
      </c>
      <c r="AL1420" s="20" t="s">
        <v>5</v>
      </c>
      <c r="AM1420" s="20" t="s">
        <v>54</v>
      </c>
      <c r="AN1420" s="21">
        <v>17284.0</v>
      </c>
      <c r="AO1420" s="21">
        <v>20.0</v>
      </c>
      <c r="AP1420" s="20">
        <v>50445.0</v>
      </c>
      <c r="AQ1420" s="20">
        <v>1308.07</v>
      </c>
    </row>
    <row r="1421" ht="22.5" hidden="1" customHeight="1">
      <c r="AJ1421" s="20" t="s">
        <v>65</v>
      </c>
      <c r="AK1421" s="21">
        <v>4.0</v>
      </c>
      <c r="AL1421" s="20" t="s">
        <v>4</v>
      </c>
      <c r="AM1421" s="20" t="s">
        <v>52</v>
      </c>
      <c r="AN1421" s="21">
        <v>17284.0</v>
      </c>
      <c r="AO1421" s="21">
        <v>10.0</v>
      </c>
      <c r="AP1421" s="20">
        <v>72379.0</v>
      </c>
      <c r="AQ1421" s="20">
        <v>1309.01</v>
      </c>
    </row>
    <row r="1422" ht="22.5" hidden="1" customHeight="1">
      <c r="AJ1422" s="20" t="s">
        <v>65</v>
      </c>
      <c r="AK1422" s="21">
        <v>4.0</v>
      </c>
      <c r="AL1422" s="20" t="s">
        <v>4</v>
      </c>
      <c r="AM1422" s="20" t="s">
        <v>55</v>
      </c>
      <c r="AN1422" s="21">
        <v>1156.0</v>
      </c>
      <c r="AO1422" s="21">
        <v>10.0</v>
      </c>
      <c r="AP1422" s="20">
        <v>77883.0</v>
      </c>
      <c r="AQ1422" s="20">
        <v>1309.12</v>
      </c>
    </row>
    <row r="1423" ht="22.5" hidden="1" customHeight="1">
      <c r="AJ1423" s="20" t="s">
        <v>65</v>
      </c>
      <c r="AK1423" s="21">
        <v>5.0</v>
      </c>
      <c r="AL1423" s="20" t="s">
        <v>3</v>
      </c>
      <c r="AM1423" s="20" t="s">
        <v>46</v>
      </c>
      <c r="AN1423" s="21">
        <v>1156.0</v>
      </c>
      <c r="AO1423" s="21">
        <v>20.0</v>
      </c>
      <c r="AP1423" s="20">
        <v>52932.0</v>
      </c>
      <c r="AQ1423" s="20">
        <v>1309.15</v>
      </c>
    </row>
    <row r="1424" ht="22.5" hidden="1" customHeight="1">
      <c r="AJ1424" s="20" t="s">
        <v>65</v>
      </c>
      <c r="AK1424" s="21">
        <v>5.0</v>
      </c>
      <c r="AL1424" s="20" t="s">
        <v>4</v>
      </c>
      <c r="AM1424" s="20" t="s">
        <v>54</v>
      </c>
      <c r="AN1424" s="21">
        <v>4996.0</v>
      </c>
      <c r="AO1424" s="21">
        <v>10.0</v>
      </c>
      <c r="AP1424" s="20">
        <v>50404.0</v>
      </c>
      <c r="AQ1424" s="20">
        <v>1309.44</v>
      </c>
    </row>
    <row r="1425" ht="22.5" hidden="1" customHeight="1">
      <c r="AJ1425" s="20" t="s">
        <v>65</v>
      </c>
      <c r="AK1425" s="21">
        <v>4.0</v>
      </c>
      <c r="AL1425" s="20" t="s">
        <v>4</v>
      </c>
      <c r="AM1425" s="20" t="s">
        <v>57</v>
      </c>
      <c r="AN1425" s="21">
        <v>1412.0</v>
      </c>
      <c r="AO1425" s="21">
        <v>10.0</v>
      </c>
      <c r="AP1425" s="20">
        <v>80959.0</v>
      </c>
      <c r="AQ1425" s="20">
        <v>1309.61</v>
      </c>
    </row>
    <row r="1426" ht="22.5" hidden="1" customHeight="1">
      <c r="AJ1426" s="20" t="s">
        <v>65</v>
      </c>
      <c r="AK1426" s="21">
        <v>5.0</v>
      </c>
      <c r="AL1426" s="20" t="s">
        <v>4</v>
      </c>
      <c r="AM1426" s="20" t="s">
        <v>54</v>
      </c>
      <c r="AN1426" s="21">
        <v>33668.0</v>
      </c>
      <c r="AO1426" s="21">
        <v>10.0</v>
      </c>
      <c r="AP1426" s="20">
        <v>50445.0</v>
      </c>
      <c r="AQ1426" s="20">
        <v>1310.66</v>
      </c>
    </row>
    <row r="1427" ht="22.5" hidden="1" customHeight="1">
      <c r="AJ1427" s="20" t="s">
        <v>65</v>
      </c>
      <c r="AK1427" s="21">
        <v>5.0</v>
      </c>
      <c r="AL1427" s="20" t="s">
        <v>5</v>
      </c>
      <c r="AM1427" s="20" t="s">
        <v>53</v>
      </c>
      <c r="AN1427" s="21">
        <v>33668.0</v>
      </c>
      <c r="AO1427" s="21">
        <v>20.0</v>
      </c>
      <c r="AP1427" s="20">
        <v>46001.0</v>
      </c>
      <c r="AQ1427" s="20">
        <v>1311.69</v>
      </c>
    </row>
    <row r="1428" ht="22.5" hidden="1" customHeight="1">
      <c r="AJ1428" s="20" t="s">
        <v>65</v>
      </c>
      <c r="AK1428" s="21">
        <v>5.0</v>
      </c>
      <c r="AL1428" s="20" t="s">
        <v>4</v>
      </c>
      <c r="AM1428" s="20" t="s">
        <v>53</v>
      </c>
      <c r="AN1428" s="21">
        <v>66436.0</v>
      </c>
      <c r="AO1428" s="21">
        <v>10.0</v>
      </c>
      <c r="AP1428" s="20">
        <v>45960.0</v>
      </c>
      <c r="AQ1428" s="20">
        <v>1312.45</v>
      </c>
    </row>
    <row r="1429" ht="22.5" hidden="1" customHeight="1">
      <c r="AJ1429" s="20" t="s">
        <v>65</v>
      </c>
      <c r="AK1429" s="21">
        <v>4.0</v>
      </c>
      <c r="AL1429" s="20" t="s">
        <v>4</v>
      </c>
      <c r="AM1429" s="20" t="s">
        <v>56</v>
      </c>
      <c r="AN1429" s="21">
        <v>1412.0</v>
      </c>
      <c r="AO1429" s="21">
        <v>10.0</v>
      </c>
      <c r="AP1429" s="20">
        <v>76855.0</v>
      </c>
      <c r="AQ1429" s="20">
        <v>1312.5</v>
      </c>
    </row>
    <row r="1430" ht="22.5" hidden="1" customHeight="1">
      <c r="AJ1430" s="20" t="s">
        <v>65</v>
      </c>
      <c r="AK1430" s="21">
        <v>5.0</v>
      </c>
      <c r="AL1430" s="20" t="s">
        <v>2</v>
      </c>
      <c r="AM1430" s="20" t="s">
        <v>55</v>
      </c>
      <c r="AN1430" s="21">
        <v>4996.0</v>
      </c>
      <c r="AO1430" s="21">
        <v>10.0</v>
      </c>
      <c r="AP1430" s="20">
        <v>55987.0</v>
      </c>
      <c r="AQ1430" s="20">
        <v>1312.75</v>
      </c>
    </row>
    <row r="1431" ht="22.5" hidden="1" customHeight="1">
      <c r="AJ1431" s="20" t="s">
        <v>65</v>
      </c>
      <c r="AK1431" s="21">
        <v>5.0</v>
      </c>
      <c r="AL1431" s="20" t="s">
        <v>2</v>
      </c>
      <c r="AM1431" s="20" t="s">
        <v>46</v>
      </c>
      <c r="AN1431" s="21">
        <v>1924.0</v>
      </c>
      <c r="AO1431" s="21">
        <v>10.0</v>
      </c>
      <c r="AP1431" s="20">
        <v>52932.0</v>
      </c>
      <c r="AQ1431" s="20">
        <v>1313.43</v>
      </c>
    </row>
    <row r="1432" ht="22.5" hidden="1" customHeight="1">
      <c r="AJ1432" s="20" t="s">
        <v>65</v>
      </c>
      <c r="AK1432" s="21">
        <v>5.0</v>
      </c>
      <c r="AL1432" s="20" t="s">
        <v>4</v>
      </c>
      <c r="AM1432" s="20" t="s">
        <v>52</v>
      </c>
      <c r="AN1432" s="21">
        <v>4996.0</v>
      </c>
      <c r="AO1432" s="21">
        <v>10.0</v>
      </c>
      <c r="AP1432" s="20">
        <v>50804.0</v>
      </c>
      <c r="AQ1432" s="20">
        <v>1313.48</v>
      </c>
    </row>
    <row r="1433" ht="22.5" hidden="1" customHeight="1">
      <c r="AJ1433" s="20" t="s">
        <v>65</v>
      </c>
      <c r="AK1433" s="21">
        <v>5.0</v>
      </c>
      <c r="AL1433" s="20" t="s">
        <v>4</v>
      </c>
      <c r="AM1433" s="20" t="s">
        <v>56</v>
      </c>
      <c r="AN1433" s="21">
        <v>131972.0</v>
      </c>
      <c r="AO1433" s="21">
        <v>10.0</v>
      </c>
      <c r="AP1433" s="20">
        <v>53728.0</v>
      </c>
      <c r="AQ1433" s="20">
        <v>1313.73</v>
      </c>
    </row>
    <row r="1434" ht="22.5" hidden="1" customHeight="1">
      <c r="AJ1434" s="20" t="s">
        <v>65</v>
      </c>
      <c r="AK1434" s="21">
        <v>4.0</v>
      </c>
      <c r="AL1434" s="20" t="s">
        <v>4</v>
      </c>
      <c r="AM1434" s="20" t="s">
        <v>57</v>
      </c>
      <c r="AN1434" s="21">
        <v>66436.0</v>
      </c>
      <c r="AO1434" s="21">
        <v>10.0</v>
      </c>
      <c r="AP1434" s="20">
        <v>80959.0</v>
      </c>
      <c r="AQ1434" s="20">
        <v>1314.68</v>
      </c>
    </row>
    <row r="1435" ht="22.5" hidden="1" customHeight="1">
      <c r="AJ1435" s="20" t="s">
        <v>65</v>
      </c>
      <c r="AK1435" s="21">
        <v>4.0</v>
      </c>
      <c r="AL1435" s="20" t="s">
        <v>4</v>
      </c>
      <c r="AM1435" s="20" t="s">
        <v>52</v>
      </c>
      <c r="AN1435" s="21">
        <v>66436.0</v>
      </c>
      <c r="AO1435" s="21">
        <v>10.0</v>
      </c>
      <c r="AP1435" s="20">
        <v>72379.0</v>
      </c>
      <c r="AQ1435" s="20">
        <v>1315.18</v>
      </c>
    </row>
    <row r="1436" ht="22.5" hidden="1" customHeight="1">
      <c r="AJ1436" s="20" t="s">
        <v>65</v>
      </c>
      <c r="AK1436" s="21">
        <v>5.0</v>
      </c>
      <c r="AL1436" s="20" t="s">
        <v>3</v>
      </c>
      <c r="AM1436" s="20" t="s">
        <v>55</v>
      </c>
      <c r="AN1436" s="21">
        <v>2948.0</v>
      </c>
      <c r="AO1436" s="21">
        <v>20.0</v>
      </c>
      <c r="AP1436" s="20">
        <v>55987.0</v>
      </c>
      <c r="AQ1436" s="20">
        <v>1318.02</v>
      </c>
    </row>
    <row r="1437" ht="22.5" hidden="1" customHeight="1">
      <c r="AJ1437" s="20" t="s">
        <v>65</v>
      </c>
      <c r="AK1437" s="21">
        <v>5.0</v>
      </c>
      <c r="AL1437" s="20" t="s">
        <v>5</v>
      </c>
      <c r="AM1437" s="20" t="s">
        <v>53</v>
      </c>
      <c r="AN1437" s="21">
        <v>66436.0</v>
      </c>
      <c r="AO1437" s="21">
        <v>20.0</v>
      </c>
      <c r="AP1437" s="20">
        <v>45960.0</v>
      </c>
      <c r="AQ1437" s="20">
        <v>1318.04</v>
      </c>
    </row>
    <row r="1438" ht="22.5" hidden="1" customHeight="1">
      <c r="AJ1438" s="20" t="s">
        <v>65</v>
      </c>
      <c r="AK1438" s="21">
        <v>5.0</v>
      </c>
      <c r="AL1438" s="20" t="s">
        <v>5</v>
      </c>
      <c r="AM1438" s="20" t="s">
        <v>48</v>
      </c>
      <c r="AN1438" s="21">
        <v>1924.0</v>
      </c>
      <c r="AO1438" s="21">
        <v>20.0</v>
      </c>
      <c r="AP1438" s="20">
        <v>54170.0</v>
      </c>
      <c r="AQ1438" s="20">
        <v>1318.36</v>
      </c>
    </row>
    <row r="1439" ht="22.5" hidden="1" customHeight="1">
      <c r="AJ1439" s="20" t="s">
        <v>65</v>
      </c>
      <c r="AK1439" s="21">
        <v>5.0</v>
      </c>
      <c r="AL1439" s="20" t="s">
        <v>4</v>
      </c>
      <c r="AM1439" s="20" t="s">
        <v>47</v>
      </c>
      <c r="AN1439" s="21">
        <v>1156.0</v>
      </c>
      <c r="AO1439" s="21">
        <v>10.0</v>
      </c>
      <c r="AP1439" s="20">
        <v>54844.0</v>
      </c>
      <c r="AQ1439" s="20">
        <v>1318.89</v>
      </c>
    </row>
    <row r="1440" ht="22.5" hidden="1" customHeight="1">
      <c r="AJ1440" s="20" t="s">
        <v>65</v>
      </c>
      <c r="AK1440" s="21">
        <v>5.0</v>
      </c>
      <c r="AL1440" s="20" t="s">
        <v>3</v>
      </c>
      <c r="AM1440" s="20" t="s">
        <v>56</v>
      </c>
      <c r="AN1440" s="21">
        <v>1156.0</v>
      </c>
      <c r="AO1440" s="21">
        <v>20.0</v>
      </c>
      <c r="AP1440" s="20">
        <v>53728.0</v>
      </c>
      <c r="AQ1440" s="20">
        <v>1319.96</v>
      </c>
    </row>
    <row r="1441" ht="22.5" hidden="1" customHeight="1">
      <c r="AJ1441" s="20" t="s">
        <v>65</v>
      </c>
      <c r="AK1441" s="21">
        <v>5.0</v>
      </c>
      <c r="AL1441" s="20" t="s">
        <v>4</v>
      </c>
      <c r="AM1441" s="20" t="s">
        <v>53</v>
      </c>
      <c r="AN1441" s="21">
        <v>2948.0</v>
      </c>
      <c r="AO1441" s="21">
        <v>10.0</v>
      </c>
      <c r="AP1441" s="20">
        <v>46004.0</v>
      </c>
      <c r="AQ1441" s="20">
        <v>1321.76</v>
      </c>
    </row>
    <row r="1442" ht="22.5" hidden="1" customHeight="1">
      <c r="AJ1442" s="20" t="s">
        <v>65</v>
      </c>
      <c r="AK1442" s="21">
        <v>5.0</v>
      </c>
      <c r="AL1442" s="20" t="s">
        <v>5</v>
      </c>
      <c r="AM1442" s="20" t="s">
        <v>46</v>
      </c>
      <c r="AN1442" s="21">
        <v>1156.0</v>
      </c>
      <c r="AO1442" s="21">
        <v>20.0</v>
      </c>
      <c r="AP1442" s="20">
        <v>52932.0</v>
      </c>
      <c r="AQ1442" s="20">
        <v>1322.77</v>
      </c>
    </row>
    <row r="1443" ht="22.5" hidden="1" customHeight="1">
      <c r="AJ1443" s="20" t="s">
        <v>65</v>
      </c>
      <c r="AK1443" s="21">
        <v>4.0</v>
      </c>
      <c r="AL1443" s="20" t="s">
        <v>4</v>
      </c>
      <c r="AM1443" s="20" t="s">
        <v>52</v>
      </c>
      <c r="AN1443" s="21">
        <v>4996.0</v>
      </c>
      <c r="AO1443" s="21">
        <v>10.0</v>
      </c>
      <c r="AP1443" s="20">
        <v>72379.0</v>
      </c>
      <c r="AQ1443" s="20">
        <v>1322.94</v>
      </c>
    </row>
    <row r="1444" ht="22.5" hidden="1" customHeight="1">
      <c r="AJ1444" s="20" t="s">
        <v>65</v>
      </c>
      <c r="AK1444" s="21">
        <v>5.0</v>
      </c>
      <c r="AL1444" s="20" t="s">
        <v>2</v>
      </c>
      <c r="AM1444" s="20" t="s">
        <v>55</v>
      </c>
      <c r="AN1444" s="21">
        <v>2948.0</v>
      </c>
      <c r="AO1444" s="21">
        <v>10.0</v>
      </c>
      <c r="AP1444" s="20">
        <v>55987.0</v>
      </c>
      <c r="AQ1444" s="20">
        <v>1324.08</v>
      </c>
    </row>
    <row r="1445" ht="22.5" hidden="1" customHeight="1">
      <c r="AJ1445" s="20" t="s">
        <v>65</v>
      </c>
      <c r="AK1445" s="21">
        <v>5.0</v>
      </c>
      <c r="AL1445" s="20" t="s">
        <v>2</v>
      </c>
      <c r="AM1445" s="20" t="s">
        <v>46</v>
      </c>
      <c r="AN1445" s="21">
        <v>1412.0</v>
      </c>
      <c r="AO1445" s="21">
        <v>10.0</v>
      </c>
      <c r="AP1445" s="20">
        <v>52932.0</v>
      </c>
      <c r="AQ1445" s="20">
        <v>1325.41</v>
      </c>
    </row>
    <row r="1446" ht="22.5" hidden="1" customHeight="1">
      <c r="AJ1446" s="20" t="s">
        <v>65</v>
      </c>
      <c r="AK1446" s="21">
        <v>5.0</v>
      </c>
      <c r="AL1446" s="20" t="s">
        <v>3</v>
      </c>
      <c r="AM1446" s="20" t="s">
        <v>55</v>
      </c>
      <c r="AN1446" s="21">
        <v>4996.0</v>
      </c>
      <c r="AO1446" s="21">
        <v>20.0</v>
      </c>
      <c r="AP1446" s="20">
        <v>55987.0</v>
      </c>
      <c r="AQ1446" s="20">
        <v>1326.01</v>
      </c>
    </row>
    <row r="1447" ht="22.5" hidden="1" customHeight="1">
      <c r="AJ1447" s="20" t="s">
        <v>65</v>
      </c>
      <c r="AK1447" s="21">
        <v>5.0</v>
      </c>
      <c r="AL1447" s="20" t="s">
        <v>2</v>
      </c>
      <c r="AM1447" s="20" t="s">
        <v>54</v>
      </c>
      <c r="AN1447" s="21">
        <v>1156.0</v>
      </c>
      <c r="AO1447" s="21">
        <v>10.0</v>
      </c>
      <c r="AP1447" s="20">
        <v>50414.0</v>
      </c>
      <c r="AQ1447" s="20">
        <v>1326.34</v>
      </c>
    </row>
    <row r="1448" ht="22.5" hidden="1" customHeight="1">
      <c r="AJ1448" s="20" t="s">
        <v>65</v>
      </c>
      <c r="AK1448" s="21">
        <v>4.0</v>
      </c>
      <c r="AL1448" s="20" t="s">
        <v>4</v>
      </c>
      <c r="AM1448" s="20" t="s">
        <v>46</v>
      </c>
      <c r="AN1448" s="21">
        <v>131972.0</v>
      </c>
      <c r="AO1448" s="21">
        <v>10.0</v>
      </c>
      <c r="AP1448" s="20">
        <v>73127.0</v>
      </c>
      <c r="AQ1448" s="20">
        <v>1327.25</v>
      </c>
    </row>
    <row r="1449" ht="22.5" hidden="1" customHeight="1">
      <c r="AJ1449" s="20" t="s">
        <v>65</v>
      </c>
      <c r="AK1449" s="21">
        <v>5.0</v>
      </c>
      <c r="AL1449" s="20" t="s">
        <v>4</v>
      </c>
      <c r="AM1449" s="20" t="s">
        <v>57</v>
      </c>
      <c r="AN1449" s="21">
        <v>1156.0</v>
      </c>
      <c r="AO1449" s="21">
        <v>10.0</v>
      </c>
      <c r="AP1449" s="20">
        <v>55771.0</v>
      </c>
      <c r="AQ1449" s="20">
        <v>1328.15</v>
      </c>
    </row>
    <row r="1450" ht="22.5" hidden="1" customHeight="1">
      <c r="AJ1450" s="20" t="s">
        <v>65</v>
      </c>
      <c r="AK1450" s="21">
        <v>5.0</v>
      </c>
      <c r="AL1450" s="20" t="s">
        <v>2</v>
      </c>
      <c r="AM1450" s="20" t="s">
        <v>56</v>
      </c>
      <c r="AN1450" s="21">
        <v>1412.0</v>
      </c>
      <c r="AO1450" s="21">
        <v>10.0</v>
      </c>
      <c r="AP1450" s="20">
        <v>53728.0</v>
      </c>
      <c r="AQ1450" s="20">
        <v>1328.96</v>
      </c>
    </row>
    <row r="1451" ht="22.5" hidden="1" customHeight="1">
      <c r="AJ1451" s="20" t="s">
        <v>65</v>
      </c>
      <c r="AK1451" s="21">
        <v>5.0</v>
      </c>
      <c r="AL1451" s="20" t="s">
        <v>3</v>
      </c>
      <c r="AM1451" s="20" t="s">
        <v>53</v>
      </c>
      <c r="AN1451" s="21">
        <v>1924.0</v>
      </c>
      <c r="AO1451" s="21">
        <v>20.0</v>
      </c>
      <c r="AP1451" s="20">
        <v>45960.0</v>
      </c>
      <c r="AQ1451" s="20">
        <v>1329.04</v>
      </c>
    </row>
    <row r="1452" ht="22.5" hidden="1" customHeight="1">
      <c r="AJ1452" s="20" t="s">
        <v>65</v>
      </c>
      <c r="AK1452" s="21">
        <v>5.0</v>
      </c>
      <c r="AL1452" s="20" t="s">
        <v>2</v>
      </c>
      <c r="AM1452" s="20" t="s">
        <v>48</v>
      </c>
      <c r="AN1452" s="21">
        <v>1924.0</v>
      </c>
      <c r="AO1452" s="21">
        <v>10.0</v>
      </c>
      <c r="AP1452" s="20">
        <v>54170.0</v>
      </c>
      <c r="AQ1452" s="20">
        <v>1329.12</v>
      </c>
    </row>
    <row r="1453" ht="22.5" hidden="1" customHeight="1">
      <c r="AJ1453" s="20" t="s">
        <v>65</v>
      </c>
      <c r="AK1453" s="21">
        <v>5.0</v>
      </c>
      <c r="AL1453" s="20" t="s">
        <v>2</v>
      </c>
      <c r="AM1453" s="20" t="s">
        <v>54</v>
      </c>
      <c r="AN1453" s="21">
        <v>1924.0</v>
      </c>
      <c r="AO1453" s="21">
        <v>10.0</v>
      </c>
      <c r="AP1453" s="20">
        <v>50404.0</v>
      </c>
      <c r="AQ1453" s="20">
        <v>1329.47</v>
      </c>
    </row>
    <row r="1454" ht="22.5" hidden="1" customHeight="1">
      <c r="AJ1454" s="20" t="s">
        <v>65</v>
      </c>
      <c r="AK1454" s="21">
        <v>5.0</v>
      </c>
      <c r="AL1454" s="20" t="s">
        <v>5</v>
      </c>
      <c r="AM1454" s="20" t="s">
        <v>56</v>
      </c>
      <c r="AN1454" s="21">
        <v>1156.0</v>
      </c>
      <c r="AO1454" s="21">
        <v>20.0</v>
      </c>
      <c r="AP1454" s="20">
        <v>53728.0</v>
      </c>
      <c r="AQ1454" s="20">
        <v>1329.54</v>
      </c>
    </row>
    <row r="1455" ht="22.5" hidden="1" customHeight="1">
      <c r="AJ1455" s="20" t="s">
        <v>65</v>
      </c>
      <c r="AK1455" s="21">
        <v>5.0</v>
      </c>
      <c r="AL1455" s="20" t="s">
        <v>4</v>
      </c>
      <c r="AM1455" s="20" t="s">
        <v>46</v>
      </c>
      <c r="AN1455" s="21">
        <v>1156.0</v>
      </c>
      <c r="AO1455" s="21">
        <v>10.0</v>
      </c>
      <c r="AP1455" s="20">
        <v>52932.0</v>
      </c>
      <c r="AQ1455" s="20">
        <v>1329.7</v>
      </c>
    </row>
    <row r="1456" ht="22.5" hidden="1" customHeight="1">
      <c r="AJ1456" s="20" t="s">
        <v>65</v>
      </c>
      <c r="AK1456" s="21">
        <v>5.0</v>
      </c>
      <c r="AL1456" s="20" t="s">
        <v>4</v>
      </c>
      <c r="AM1456" s="20" t="s">
        <v>57</v>
      </c>
      <c r="AN1456" s="21">
        <v>1924.0</v>
      </c>
      <c r="AO1456" s="21">
        <v>10.0</v>
      </c>
      <c r="AP1456" s="20">
        <v>55954.0</v>
      </c>
      <c r="AQ1456" s="20">
        <v>1330.29</v>
      </c>
    </row>
    <row r="1457" ht="22.5" hidden="1" customHeight="1">
      <c r="AJ1457" s="20" t="s">
        <v>65</v>
      </c>
      <c r="AK1457" s="21">
        <v>5.0</v>
      </c>
      <c r="AL1457" s="20" t="s">
        <v>5</v>
      </c>
      <c r="AM1457" s="20" t="s">
        <v>53</v>
      </c>
      <c r="AN1457" s="21">
        <v>1924.0</v>
      </c>
      <c r="AO1457" s="21">
        <v>20.0</v>
      </c>
      <c r="AP1457" s="20">
        <v>45960.0</v>
      </c>
      <c r="AQ1457" s="20">
        <v>1331.45</v>
      </c>
    </row>
    <row r="1458" ht="22.5" hidden="1" customHeight="1">
      <c r="AJ1458" s="20" t="s">
        <v>65</v>
      </c>
      <c r="AK1458" s="21">
        <v>5.0</v>
      </c>
      <c r="AL1458" s="20" t="s">
        <v>4</v>
      </c>
      <c r="AM1458" s="20" t="s">
        <v>57</v>
      </c>
      <c r="AN1458" s="21">
        <v>9092.0</v>
      </c>
      <c r="AO1458" s="21">
        <v>10.0</v>
      </c>
      <c r="AP1458" s="20">
        <v>56465.0</v>
      </c>
      <c r="AQ1458" s="20">
        <v>1331.59</v>
      </c>
    </row>
    <row r="1459" ht="22.5" hidden="1" customHeight="1">
      <c r="AJ1459" s="20" t="s">
        <v>65</v>
      </c>
      <c r="AK1459" s="21">
        <v>5.0</v>
      </c>
      <c r="AL1459" s="20" t="s">
        <v>3</v>
      </c>
      <c r="AM1459" s="20" t="s">
        <v>47</v>
      </c>
      <c r="AN1459" s="21">
        <v>4996.0</v>
      </c>
      <c r="AO1459" s="21">
        <v>20.0</v>
      </c>
      <c r="AP1459" s="20">
        <v>54844.0</v>
      </c>
      <c r="AQ1459" s="20">
        <v>1331.95</v>
      </c>
    </row>
    <row r="1460" ht="22.5" hidden="1" customHeight="1">
      <c r="AJ1460" s="20" t="s">
        <v>65</v>
      </c>
      <c r="AK1460" s="21">
        <v>5.0</v>
      </c>
      <c r="AL1460" s="20" t="s">
        <v>2</v>
      </c>
      <c r="AM1460" s="20" t="s">
        <v>53</v>
      </c>
      <c r="AN1460" s="21">
        <v>1924.0</v>
      </c>
      <c r="AO1460" s="21">
        <v>10.0</v>
      </c>
      <c r="AP1460" s="20">
        <v>45960.0</v>
      </c>
      <c r="AQ1460" s="20">
        <v>1332.18</v>
      </c>
    </row>
    <row r="1461" ht="22.5" hidden="1" customHeight="1">
      <c r="AJ1461" s="20" t="s">
        <v>65</v>
      </c>
      <c r="AK1461" s="21">
        <v>5.0</v>
      </c>
      <c r="AL1461" s="20" t="s">
        <v>3</v>
      </c>
      <c r="AM1461" s="20" t="s">
        <v>48</v>
      </c>
      <c r="AN1461" s="21">
        <v>1412.0</v>
      </c>
      <c r="AO1461" s="21">
        <v>20.0</v>
      </c>
      <c r="AP1461" s="20">
        <v>54114.0</v>
      </c>
      <c r="AQ1461" s="20">
        <v>1332.42</v>
      </c>
    </row>
    <row r="1462" ht="22.5" hidden="1" customHeight="1">
      <c r="AJ1462" s="20" t="s">
        <v>65</v>
      </c>
      <c r="AK1462" s="21">
        <v>5.0</v>
      </c>
      <c r="AL1462" s="20" t="s">
        <v>3</v>
      </c>
      <c r="AM1462" s="20" t="s">
        <v>46</v>
      </c>
      <c r="AN1462" s="21">
        <v>1412.0</v>
      </c>
      <c r="AO1462" s="21">
        <v>20.0</v>
      </c>
      <c r="AP1462" s="20">
        <v>52932.0</v>
      </c>
      <c r="AQ1462" s="20">
        <v>1332.71</v>
      </c>
    </row>
    <row r="1463" ht="22.5" hidden="1" customHeight="1">
      <c r="AJ1463" s="20" t="s">
        <v>65</v>
      </c>
      <c r="AK1463" s="21">
        <v>4.0</v>
      </c>
      <c r="AL1463" s="20" t="s">
        <v>4</v>
      </c>
      <c r="AM1463" s="20" t="s">
        <v>48</v>
      </c>
      <c r="AN1463" s="21">
        <v>1412.0</v>
      </c>
      <c r="AO1463" s="21">
        <v>10.0</v>
      </c>
      <c r="AP1463" s="20">
        <v>75248.0</v>
      </c>
      <c r="AQ1463" s="20">
        <v>1333.31</v>
      </c>
    </row>
    <row r="1464" ht="22.5" hidden="1" customHeight="1">
      <c r="AJ1464" s="20" t="s">
        <v>65</v>
      </c>
      <c r="AK1464" s="21">
        <v>5.0</v>
      </c>
      <c r="AL1464" s="20" t="s">
        <v>3</v>
      </c>
      <c r="AM1464" s="20" t="s">
        <v>54</v>
      </c>
      <c r="AN1464" s="21">
        <v>2948.0</v>
      </c>
      <c r="AO1464" s="21">
        <v>20.0</v>
      </c>
      <c r="AP1464" s="20">
        <v>50424.0</v>
      </c>
      <c r="AQ1464" s="20">
        <v>1334.2</v>
      </c>
    </row>
    <row r="1465" ht="22.5" hidden="1" customHeight="1">
      <c r="AJ1465" s="20" t="s">
        <v>65</v>
      </c>
      <c r="AK1465" s="21">
        <v>4.0</v>
      </c>
      <c r="AL1465" s="20" t="s">
        <v>4</v>
      </c>
      <c r="AM1465" s="20" t="s">
        <v>57</v>
      </c>
      <c r="AN1465" s="21">
        <v>131972.0</v>
      </c>
      <c r="AO1465" s="21">
        <v>10.0</v>
      </c>
      <c r="AP1465" s="20">
        <v>81174.0</v>
      </c>
      <c r="AQ1465" s="20">
        <v>1335.61</v>
      </c>
    </row>
    <row r="1466" ht="22.5" hidden="1" customHeight="1">
      <c r="AJ1466" s="20" t="s">
        <v>65</v>
      </c>
      <c r="AK1466" s="21">
        <v>5.0</v>
      </c>
      <c r="AL1466" s="20" t="s">
        <v>5</v>
      </c>
      <c r="AM1466" s="20" t="s">
        <v>53</v>
      </c>
      <c r="AN1466" s="21">
        <v>1412.0</v>
      </c>
      <c r="AO1466" s="21">
        <v>20.0</v>
      </c>
      <c r="AP1466" s="20">
        <v>45960.0</v>
      </c>
      <c r="AQ1466" s="20">
        <v>1335.93</v>
      </c>
    </row>
    <row r="1467" ht="22.5" hidden="1" customHeight="1">
      <c r="AJ1467" s="20" t="s">
        <v>65</v>
      </c>
      <c r="AK1467" s="21">
        <v>5.0</v>
      </c>
      <c r="AL1467" s="20" t="s">
        <v>5</v>
      </c>
      <c r="AM1467" s="20" t="s">
        <v>55</v>
      </c>
      <c r="AN1467" s="21">
        <v>4996.0</v>
      </c>
      <c r="AO1467" s="21">
        <v>20.0</v>
      </c>
      <c r="AP1467" s="20">
        <v>55987.0</v>
      </c>
      <c r="AQ1467" s="20">
        <v>1335.93</v>
      </c>
    </row>
    <row r="1468" ht="22.5" hidden="1" customHeight="1">
      <c r="AJ1468" s="20" t="s">
        <v>65</v>
      </c>
      <c r="AK1468" s="21">
        <v>4.0</v>
      </c>
      <c r="AL1468" s="20" t="s">
        <v>4</v>
      </c>
      <c r="AM1468" s="20" t="s">
        <v>56</v>
      </c>
      <c r="AN1468" s="21">
        <v>1156.0</v>
      </c>
      <c r="AO1468" s="21">
        <v>10.0</v>
      </c>
      <c r="AP1468" s="20">
        <v>76855.0</v>
      </c>
      <c r="AQ1468" s="20">
        <v>1336.05</v>
      </c>
    </row>
    <row r="1469" ht="22.5" hidden="1" customHeight="1">
      <c r="AJ1469" s="20" t="s">
        <v>65</v>
      </c>
      <c r="AK1469" s="21">
        <v>4.0</v>
      </c>
      <c r="AL1469" s="20" t="s">
        <v>4</v>
      </c>
      <c r="AM1469" s="20" t="s">
        <v>46</v>
      </c>
      <c r="AN1469" s="21">
        <v>9092.0</v>
      </c>
      <c r="AO1469" s="21">
        <v>10.0</v>
      </c>
      <c r="AP1469" s="20">
        <v>73127.0</v>
      </c>
      <c r="AQ1469" s="20">
        <v>1336.18</v>
      </c>
    </row>
    <row r="1470" ht="22.5" hidden="1" customHeight="1">
      <c r="AJ1470" s="20" t="s">
        <v>65</v>
      </c>
      <c r="AK1470" s="21">
        <v>4.0</v>
      </c>
      <c r="AL1470" s="20" t="s">
        <v>4</v>
      </c>
      <c r="AM1470" s="20" t="s">
        <v>57</v>
      </c>
      <c r="AN1470" s="21">
        <v>1156.0</v>
      </c>
      <c r="AO1470" s="21">
        <v>10.0</v>
      </c>
      <c r="AP1470" s="20">
        <v>80959.0</v>
      </c>
      <c r="AQ1470" s="20">
        <v>1336.69</v>
      </c>
    </row>
    <row r="1471" ht="22.5" hidden="1" customHeight="1">
      <c r="AJ1471" s="20" t="s">
        <v>65</v>
      </c>
      <c r="AK1471" s="21">
        <v>5.0</v>
      </c>
      <c r="AL1471" s="20" t="s">
        <v>2</v>
      </c>
      <c r="AM1471" s="20" t="s">
        <v>56</v>
      </c>
      <c r="AN1471" s="21">
        <v>1156.0</v>
      </c>
      <c r="AO1471" s="21">
        <v>10.0</v>
      </c>
      <c r="AP1471" s="20">
        <v>53728.0</v>
      </c>
      <c r="AQ1471" s="20">
        <v>1338.05</v>
      </c>
    </row>
    <row r="1472" ht="22.5" hidden="1" customHeight="1">
      <c r="AJ1472" s="20" t="s">
        <v>65</v>
      </c>
      <c r="AK1472" s="21">
        <v>5.0</v>
      </c>
      <c r="AL1472" s="20" t="s">
        <v>5</v>
      </c>
      <c r="AM1472" s="20" t="s">
        <v>56</v>
      </c>
      <c r="AN1472" s="21">
        <v>9092.0</v>
      </c>
      <c r="AO1472" s="21">
        <v>20.0</v>
      </c>
      <c r="AP1472" s="20">
        <v>53728.0</v>
      </c>
      <c r="AQ1472" s="20">
        <v>1338.6</v>
      </c>
    </row>
    <row r="1473" ht="22.5" hidden="1" customHeight="1">
      <c r="AJ1473" s="20" t="s">
        <v>65</v>
      </c>
      <c r="AK1473" s="21">
        <v>5.0</v>
      </c>
      <c r="AL1473" s="20" t="s">
        <v>5</v>
      </c>
      <c r="AM1473" s="20" t="s">
        <v>56</v>
      </c>
      <c r="AN1473" s="21">
        <v>1412.0</v>
      </c>
      <c r="AO1473" s="21">
        <v>20.0</v>
      </c>
      <c r="AP1473" s="20">
        <v>53728.0</v>
      </c>
      <c r="AQ1473" s="20">
        <v>1338.68</v>
      </c>
    </row>
    <row r="1474" ht="22.5" hidden="1" customHeight="1">
      <c r="AJ1474" s="20" t="s">
        <v>65</v>
      </c>
      <c r="AK1474" s="21">
        <v>4.0</v>
      </c>
      <c r="AL1474" s="20" t="s">
        <v>4</v>
      </c>
      <c r="AM1474" s="20" t="s">
        <v>47</v>
      </c>
      <c r="AN1474" s="21">
        <v>9092.0</v>
      </c>
      <c r="AO1474" s="21">
        <v>10.0</v>
      </c>
      <c r="AP1474" s="20">
        <v>76359.0</v>
      </c>
      <c r="AQ1474" s="20">
        <v>1338.81</v>
      </c>
    </row>
    <row r="1475" ht="22.5" hidden="1" customHeight="1">
      <c r="AJ1475" s="20" t="s">
        <v>65</v>
      </c>
      <c r="AK1475" s="21">
        <v>5.0</v>
      </c>
      <c r="AL1475" s="20" t="s">
        <v>4</v>
      </c>
      <c r="AM1475" s="20" t="s">
        <v>57</v>
      </c>
      <c r="AN1475" s="21">
        <v>1412.0</v>
      </c>
      <c r="AO1475" s="21">
        <v>10.0</v>
      </c>
      <c r="AP1475" s="20">
        <v>55954.0</v>
      </c>
      <c r="AQ1475" s="20">
        <v>1338.97</v>
      </c>
    </row>
    <row r="1476" ht="22.5" hidden="1" customHeight="1">
      <c r="AJ1476" s="20" t="s">
        <v>65</v>
      </c>
      <c r="AK1476" s="21">
        <v>4.0</v>
      </c>
      <c r="AL1476" s="20" t="s">
        <v>4</v>
      </c>
      <c r="AM1476" s="20" t="s">
        <v>56</v>
      </c>
      <c r="AN1476" s="21">
        <v>2948.0</v>
      </c>
      <c r="AO1476" s="21">
        <v>10.0</v>
      </c>
      <c r="AP1476" s="20">
        <v>76855.0</v>
      </c>
      <c r="AQ1476" s="20">
        <v>1339.25</v>
      </c>
    </row>
    <row r="1477" ht="22.5" hidden="1" customHeight="1">
      <c r="AJ1477" s="20" t="s">
        <v>65</v>
      </c>
      <c r="AK1477" s="21">
        <v>5.0</v>
      </c>
      <c r="AL1477" s="20" t="s">
        <v>3</v>
      </c>
      <c r="AM1477" s="20" t="s">
        <v>54</v>
      </c>
      <c r="AN1477" s="21">
        <v>1156.0</v>
      </c>
      <c r="AO1477" s="21">
        <v>20.0</v>
      </c>
      <c r="AP1477" s="20">
        <v>50414.0</v>
      </c>
      <c r="AQ1477" s="20">
        <v>1339.96</v>
      </c>
    </row>
    <row r="1478" ht="22.5" hidden="1" customHeight="1">
      <c r="AJ1478" s="20" t="s">
        <v>65</v>
      </c>
      <c r="AK1478" s="21">
        <v>4.0</v>
      </c>
      <c r="AL1478" s="20" t="s">
        <v>4</v>
      </c>
      <c r="AM1478" s="20" t="s">
        <v>55</v>
      </c>
      <c r="AN1478" s="21">
        <v>4996.0</v>
      </c>
      <c r="AO1478" s="21">
        <v>10.0</v>
      </c>
      <c r="AP1478" s="20">
        <v>77883.0</v>
      </c>
      <c r="AQ1478" s="20">
        <v>1340.76</v>
      </c>
    </row>
    <row r="1479" ht="22.5" hidden="1" customHeight="1">
      <c r="AJ1479" s="20" t="s">
        <v>65</v>
      </c>
      <c r="AK1479" s="21">
        <v>5.0</v>
      </c>
      <c r="AL1479" s="20" t="s">
        <v>5</v>
      </c>
      <c r="AM1479" s="20" t="s">
        <v>56</v>
      </c>
      <c r="AN1479" s="21">
        <v>131972.0</v>
      </c>
      <c r="AO1479" s="21">
        <v>20.0</v>
      </c>
      <c r="AP1479" s="20">
        <v>53728.0</v>
      </c>
      <c r="AQ1479" s="20">
        <v>1341.7</v>
      </c>
    </row>
    <row r="1480" ht="22.5" hidden="1" customHeight="1">
      <c r="AJ1480" s="20" t="s">
        <v>65</v>
      </c>
      <c r="AK1480" s="21">
        <v>4.0</v>
      </c>
      <c r="AL1480" s="20" t="s">
        <v>4</v>
      </c>
      <c r="AM1480" s="20" t="s">
        <v>53</v>
      </c>
      <c r="AN1480" s="21">
        <v>33668.0</v>
      </c>
      <c r="AO1480" s="21">
        <v>10.0</v>
      </c>
      <c r="AP1480" s="20">
        <v>64873.0</v>
      </c>
      <c r="AQ1480" s="20">
        <v>1341.81</v>
      </c>
    </row>
    <row r="1481" ht="22.5" hidden="1" customHeight="1">
      <c r="AJ1481" s="20" t="s">
        <v>65</v>
      </c>
      <c r="AK1481" s="21">
        <v>5.0</v>
      </c>
      <c r="AL1481" s="20" t="s">
        <v>5</v>
      </c>
      <c r="AM1481" s="20" t="s">
        <v>54</v>
      </c>
      <c r="AN1481" s="21">
        <v>131972.0</v>
      </c>
      <c r="AO1481" s="21">
        <v>20.0</v>
      </c>
      <c r="AP1481" s="20">
        <v>50424.0</v>
      </c>
      <c r="AQ1481" s="20">
        <v>1342.59</v>
      </c>
    </row>
    <row r="1482" ht="22.5" hidden="1" customHeight="1">
      <c r="AJ1482" s="20" t="s">
        <v>65</v>
      </c>
      <c r="AK1482" s="21">
        <v>5.0</v>
      </c>
      <c r="AL1482" s="20" t="s">
        <v>3</v>
      </c>
      <c r="AM1482" s="20" t="s">
        <v>48</v>
      </c>
      <c r="AN1482" s="21">
        <v>1924.0</v>
      </c>
      <c r="AO1482" s="21">
        <v>20.0</v>
      </c>
      <c r="AP1482" s="20">
        <v>54170.0</v>
      </c>
      <c r="AQ1482" s="20">
        <v>1342.82</v>
      </c>
    </row>
    <row r="1483" ht="22.5" hidden="1" customHeight="1">
      <c r="AJ1483" s="20" t="s">
        <v>65</v>
      </c>
      <c r="AK1483" s="21">
        <v>5.0</v>
      </c>
      <c r="AL1483" s="20" t="s">
        <v>5</v>
      </c>
      <c r="AM1483" s="20" t="s">
        <v>54</v>
      </c>
      <c r="AN1483" s="21">
        <v>33668.0</v>
      </c>
      <c r="AO1483" s="21">
        <v>20.0</v>
      </c>
      <c r="AP1483" s="20">
        <v>50445.0</v>
      </c>
      <c r="AQ1483" s="20">
        <v>1343.35</v>
      </c>
    </row>
    <row r="1484" ht="22.5" hidden="1" customHeight="1">
      <c r="AJ1484" s="20" t="s">
        <v>65</v>
      </c>
      <c r="AK1484" s="21">
        <v>5.0</v>
      </c>
      <c r="AL1484" s="20" t="s">
        <v>3</v>
      </c>
      <c r="AM1484" s="20" t="s">
        <v>54</v>
      </c>
      <c r="AN1484" s="21">
        <v>1924.0</v>
      </c>
      <c r="AO1484" s="21">
        <v>20.0</v>
      </c>
      <c r="AP1484" s="20">
        <v>50404.0</v>
      </c>
      <c r="AQ1484" s="20">
        <v>1344.03</v>
      </c>
    </row>
    <row r="1485" ht="22.5" hidden="1" customHeight="1">
      <c r="AJ1485" s="20" t="s">
        <v>65</v>
      </c>
      <c r="AK1485" s="21">
        <v>4.0</v>
      </c>
      <c r="AL1485" s="20" t="s">
        <v>4</v>
      </c>
      <c r="AM1485" s="20" t="s">
        <v>54</v>
      </c>
      <c r="AN1485" s="21">
        <v>1156.0</v>
      </c>
      <c r="AO1485" s="21">
        <v>10.0</v>
      </c>
      <c r="AP1485" s="20">
        <v>71712.0</v>
      </c>
      <c r="AQ1485" s="20">
        <v>1345.07</v>
      </c>
    </row>
    <row r="1486" ht="22.5" hidden="1" customHeight="1">
      <c r="AJ1486" s="20" t="s">
        <v>65</v>
      </c>
      <c r="AK1486" s="21">
        <v>4.0</v>
      </c>
      <c r="AL1486" s="20" t="s">
        <v>4</v>
      </c>
      <c r="AM1486" s="20" t="s">
        <v>57</v>
      </c>
      <c r="AN1486" s="21">
        <v>17284.0</v>
      </c>
      <c r="AO1486" s="21">
        <v>10.0</v>
      </c>
      <c r="AP1486" s="20">
        <v>81630.0</v>
      </c>
      <c r="AQ1486" s="20">
        <v>1345.37</v>
      </c>
    </row>
    <row r="1487" ht="22.5" hidden="1" customHeight="1">
      <c r="AJ1487" s="20" t="s">
        <v>65</v>
      </c>
      <c r="AK1487" s="21">
        <v>5.0</v>
      </c>
      <c r="AL1487" s="20" t="s">
        <v>4</v>
      </c>
      <c r="AM1487" s="20" t="s">
        <v>57</v>
      </c>
      <c r="AN1487" s="21">
        <v>66436.0</v>
      </c>
      <c r="AO1487" s="21">
        <v>10.0</v>
      </c>
      <c r="AP1487" s="20">
        <v>56465.0</v>
      </c>
      <c r="AQ1487" s="20">
        <v>1345.56</v>
      </c>
    </row>
    <row r="1488" ht="22.5" hidden="1" customHeight="1">
      <c r="AJ1488" s="20" t="s">
        <v>65</v>
      </c>
      <c r="AK1488" s="21">
        <v>5.0</v>
      </c>
      <c r="AL1488" s="20" t="s">
        <v>5</v>
      </c>
      <c r="AM1488" s="20" t="s">
        <v>47</v>
      </c>
      <c r="AN1488" s="21">
        <v>1156.0</v>
      </c>
      <c r="AO1488" s="21">
        <v>20.0</v>
      </c>
      <c r="AP1488" s="20">
        <v>54844.0</v>
      </c>
      <c r="AQ1488" s="20">
        <v>1345.84</v>
      </c>
    </row>
    <row r="1489" ht="22.5" hidden="1" customHeight="1">
      <c r="AJ1489" s="20" t="s">
        <v>65</v>
      </c>
      <c r="AK1489" s="21">
        <v>4.0</v>
      </c>
      <c r="AL1489" s="20" t="s">
        <v>4</v>
      </c>
      <c r="AM1489" s="20" t="s">
        <v>55</v>
      </c>
      <c r="AN1489" s="21">
        <v>1412.0</v>
      </c>
      <c r="AO1489" s="21">
        <v>10.0</v>
      </c>
      <c r="AP1489" s="20">
        <v>77941.0</v>
      </c>
      <c r="AQ1489" s="20">
        <v>1346.03</v>
      </c>
    </row>
    <row r="1490" ht="22.5" hidden="1" customHeight="1">
      <c r="AJ1490" s="20" t="s">
        <v>65</v>
      </c>
      <c r="AK1490" s="21">
        <v>5.0</v>
      </c>
      <c r="AL1490" s="20" t="s">
        <v>3</v>
      </c>
      <c r="AM1490" s="20" t="s">
        <v>54</v>
      </c>
      <c r="AN1490" s="21">
        <v>1412.0</v>
      </c>
      <c r="AO1490" s="21">
        <v>20.0</v>
      </c>
      <c r="AP1490" s="20">
        <v>50424.0</v>
      </c>
      <c r="AQ1490" s="20">
        <v>1346.55</v>
      </c>
    </row>
    <row r="1491" ht="22.5" hidden="1" customHeight="1">
      <c r="AJ1491" s="20" t="s">
        <v>65</v>
      </c>
      <c r="AK1491" s="21">
        <v>4.0</v>
      </c>
      <c r="AL1491" s="20" t="s">
        <v>4</v>
      </c>
      <c r="AM1491" s="20" t="s">
        <v>56</v>
      </c>
      <c r="AN1491" s="21">
        <v>33668.0</v>
      </c>
      <c r="AO1491" s="21">
        <v>10.0</v>
      </c>
      <c r="AP1491" s="20">
        <v>76855.0</v>
      </c>
      <c r="AQ1491" s="20">
        <v>1346.78</v>
      </c>
    </row>
    <row r="1492" ht="22.5" hidden="1" customHeight="1">
      <c r="AJ1492" s="20" t="s">
        <v>65</v>
      </c>
      <c r="AK1492" s="21">
        <v>5.0</v>
      </c>
      <c r="AL1492" s="20" t="s">
        <v>2</v>
      </c>
      <c r="AM1492" s="20" t="s">
        <v>54</v>
      </c>
      <c r="AN1492" s="21">
        <v>4996.0</v>
      </c>
      <c r="AO1492" s="21">
        <v>10.0</v>
      </c>
      <c r="AP1492" s="20">
        <v>50404.0</v>
      </c>
      <c r="AQ1492" s="20">
        <v>1349.2</v>
      </c>
    </row>
    <row r="1493" ht="22.5" hidden="1" customHeight="1">
      <c r="AJ1493" s="20" t="s">
        <v>65</v>
      </c>
      <c r="AK1493" s="21">
        <v>5.0</v>
      </c>
      <c r="AL1493" s="20" t="s">
        <v>5</v>
      </c>
      <c r="AM1493" s="20" t="s">
        <v>54</v>
      </c>
      <c r="AN1493" s="21">
        <v>4996.0</v>
      </c>
      <c r="AO1493" s="21">
        <v>20.0</v>
      </c>
      <c r="AP1493" s="20">
        <v>50404.0</v>
      </c>
      <c r="AQ1493" s="20">
        <v>1349.88</v>
      </c>
    </row>
    <row r="1494" ht="22.5" hidden="1" customHeight="1">
      <c r="AJ1494" s="20" t="s">
        <v>65</v>
      </c>
      <c r="AK1494" s="21">
        <v>5.0</v>
      </c>
      <c r="AL1494" s="20" t="s">
        <v>5</v>
      </c>
      <c r="AM1494" s="20" t="s">
        <v>47</v>
      </c>
      <c r="AN1494" s="21">
        <v>17284.0</v>
      </c>
      <c r="AO1494" s="21">
        <v>20.0</v>
      </c>
      <c r="AP1494" s="20">
        <v>54844.0</v>
      </c>
      <c r="AQ1494" s="20">
        <v>1350.57</v>
      </c>
    </row>
    <row r="1495" ht="22.5" hidden="1" customHeight="1">
      <c r="AJ1495" s="20" t="s">
        <v>65</v>
      </c>
      <c r="AK1495" s="21">
        <v>5.0</v>
      </c>
      <c r="AL1495" s="20" t="s">
        <v>3</v>
      </c>
      <c r="AM1495" s="20" t="s">
        <v>56</v>
      </c>
      <c r="AN1495" s="21">
        <v>1412.0</v>
      </c>
      <c r="AO1495" s="21">
        <v>20.0</v>
      </c>
      <c r="AP1495" s="20">
        <v>53728.0</v>
      </c>
      <c r="AQ1495" s="20">
        <v>1350.62</v>
      </c>
    </row>
    <row r="1496" ht="22.5" hidden="1" customHeight="1">
      <c r="AJ1496" s="20" t="s">
        <v>65</v>
      </c>
      <c r="AK1496" s="21">
        <v>4.0</v>
      </c>
      <c r="AL1496" s="20" t="s">
        <v>4</v>
      </c>
      <c r="AM1496" s="20" t="s">
        <v>46</v>
      </c>
      <c r="AN1496" s="21">
        <v>66436.0</v>
      </c>
      <c r="AO1496" s="21">
        <v>10.0</v>
      </c>
      <c r="AP1496" s="20">
        <v>73127.0</v>
      </c>
      <c r="AQ1496" s="20">
        <v>1351.96</v>
      </c>
    </row>
    <row r="1497" ht="22.5" hidden="1" customHeight="1">
      <c r="AJ1497" s="20" t="s">
        <v>65</v>
      </c>
      <c r="AK1497" s="21">
        <v>5.0</v>
      </c>
      <c r="AL1497" s="20" t="s">
        <v>2</v>
      </c>
      <c r="AM1497" s="20" t="s">
        <v>54</v>
      </c>
      <c r="AN1497" s="21">
        <v>2948.0</v>
      </c>
      <c r="AO1497" s="21">
        <v>10.0</v>
      </c>
      <c r="AP1497" s="20">
        <v>50424.0</v>
      </c>
      <c r="AQ1497" s="20">
        <v>1352.34</v>
      </c>
    </row>
    <row r="1498" ht="22.5" hidden="1" customHeight="1">
      <c r="AJ1498" s="20" t="s">
        <v>65</v>
      </c>
      <c r="AK1498" s="21">
        <v>5.0</v>
      </c>
      <c r="AL1498" s="20" t="s">
        <v>4</v>
      </c>
      <c r="AM1498" s="20" t="s">
        <v>54</v>
      </c>
      <c r="AN1498" s="21">
        <v>1156.0</v>
      </c>
      <c r="AO1498" s="21">
        <v>10.0</v>
      </c>
      <c r="AP1498" s="20">
        <v>50414.0</v>
      </c>
      <c r="AQ1498" s="20">
        <v>1352.84</v>
      </c>
    </row>
    <row r="1499" ht="22.5" hidden="1" customHeight="1">
      <c r="AJ1499" s="20" t="s">
        <v>65</v>
      </c>
      <c r="AK1499" s="21">
        <v>4.0</v>
      </c>
      <c r="AL1499" s="20" t="s">
        <v>4</v>
      </c>
      <c r="AM1499" s="20" t="s">
        <v>47</v>
      </c>
      <c r="AN1499" s="21">
        <v>4996.0</v>
      </c>
      <c r="AO1499" s="21">
        <v>10.0</v>
      </c>
      <c r="AP1499" s="20">
        <v>76359.0</v>
      </c>
      <c r="AQ1499" s="20">
        <v>1353.0</v>
      </c>
    </row>
    <row r="1500" ht="22.5" hidden="1" customHeight="1">
      <c r="AJ1500" s="20" t="s">
        <v>65</v>
      </c>
      <c r="AK1500" s="21">
        <v>5.0</v>
      </c>
      <c r="AL1500" s="20" t="s">
        <v>2</v>
      </c>
      <c r="AM1500" s="20" t="s">
        <v>57</v>
      </c>
      <c r="AN1500" s="21">
        <v>1924.0</v>
      </c>
      <c r="AO1500" s="21">
        <v>10.0</v>
      </c>
      <c r="AP1500" s="20">
        <v>55954.0</v>
      </c>
      <c r="AQ1500" s="20">
        <v>1353.41</v>
      </c>
    </row>
    <row r="1501" ht="22.5" hidden="1" customHeight="1">
      <c r="AJ1501" s="20" t="s">
        <v>65</v>
      </c>
      <c r="AK1501" s="21">
        <v>5.0</v>
      </c>
      <c r="AL1501" s="20" t="s">
        <v>2</v>
      </c>
      <c r="AM1501" s="20" t="s">
        <v>57</v>
      </c>
      <c r="AN1501" s="21">
        <v>1156.0</v>
      </c>
      <c r="AO1501" s="21">
        <v>10.0</v>
      </c>
      <c r="AP1501" s="20">
        <v>55771.0</v>
      </c>
      <c r="AQ1501" s="20">
        <v>1354.44</v>
      </c>
    </row>
    <row r="1502" ht="22.5" hidden="1" customHeight="1">
      <c r="AJ1502" s="20" t="s">
        <v>65</v>
      </c>
      <c r="AK1502" s="21">
        <v>5.0</v>
      </c>
      <c r="AL1502" s="20" t="s">
        <v>5</v>
      </c>
      <c r="AM1502" s="20" t="s">
        <v>46</v>
      </c>
      <c r="AN1502" s="21">
        <v>1412.0</v>
      </c>
      <c r="AO1502" s="21">
        <v>20.0</v>
      </c>
      <c r="AP1502" s="20">
        <v>52932.0</v>
      </c>
      <c r="AQ1502" s="20">
        <v>1354.77</v>
      </c>
    </row>
    <row r="1503" ht="22.5" hidden="1" customHeight="1">
      <c r="AJ1503" s="20" t="s">
        <v>65</v>
      </c>
      <c r="AK1503" s="21">
        <v>5.0</v>
      </c>
      <c r="AL1503" s="20" t="s">
        <v>3</v>
      </c>
      <c r="AM1503" s="20" t="s">
        <v>57</v>
      </c>
      <c r="AN1503" s="21">
        <v>1924.0</v>
      </c>
      <c r="AO1503" s="21">
        <v>20.0</v>
      </c>
      <c r="AP1503" s="20">
        <v>55954.0</v>
      </c>
      <c r="AQ1503" s="20">
        <v>1355.39</v>
      </c>
    </row>
    <row r="1504" ht="22.5" hidden="1" customHeight="1">
      <c r="AJ1504" s="20" t="s">
        <v>65</v>
      </c>
      <c r="AK1504" s="21">
        <v>4.0</v>
      </c>
      <c r="AL1504" s="20" t="s">
        <v>4</v>
      </c>
      <c r="AM1504" s="20" t="s">
        <v>57</v>
      </c>
      <c r="AN1504" s="21">
        <v>1924.0</v>
      </c>
      <c r="AO1504" s="21">
        <v>10.0</v>
      </c>
      <c r="AP1504" s="20">
        <v>81174.0</v>
      </c>
      <c r="AQ1504" s="20">
        <v>1355.71</v>
      </c>
    </row>
    <row r="1505" ht="22.5" hidden="1" customHeight="1">
      <c r="AJ1505" s="20" t="s">
        <v>65</v>
      </c>
      <c r="AK1505" s="21">
        <v>5.0</v>
      </c>
      <c r="AL1505" s="20" t="s">
        <v>2</v>
      </c>
      <c r="AM1505" s="20" t="s">
        <v>53</v>
      </c>
      <c r="AN1505" s="21">
        <v>1412.0</v>
      </c>
      <c r="AO1505" s="21">
        <v>10.0</v>
      </c>
      <c r="AP1505" s="20">
        <v>45960.0</v>
      </c>
      <c r="AQ1505" s="20">
        <v>1355.71</v>
      </c>
    </row>
    <row r="1506" ht="22.5" hidden="1" customHeight="1">
      <c r="AJ1506" s="20" t="s">
        <v>65</v>
      </c>
      <c r="AK1506" s="21">
        <v>5.0</v>
      </c>
      <c r="AL1506" s="20" t="s">
        <v>2</v>
      </c>
      <c r="AM1506" s="20" t="s">
        <v>52</v>
      </c>
      <c r="AN1506" s="21">
        <v>4996.0</v>
      </c>
      <c r="AO1506" s="21">
        <v>10.0</v>
      </c>
      <c r="AP1506" s="20">
        <v>50804.0</v>
      </c>
      <c r="AQ1506" s="20">
        <v>1356.41</v>
      </c>
    </row>
    <row r="1507" ht="22.5" hidden="1" customHeight="1">
      <c r="AJ1507" s="20" t="s">
        <v>65</v>
      </c>
      <c r="AK1507" s="21">
        <v>5.0</v>
      </c>
      <c r="AL1507" s="20" t="s">
        <v>5</v>
      </c>
      <c r="AM1507" s="20" t="s">
        <v>54</v>
      </c>
      <c r="AN1507" s="21">
        <v>1156.0</v>
      </c>
      <c r="AO1507" s="21">
        <v>20.0</v>
      </c>
      <c r="AP1507" s="20">
        <v>50414.0</v>
      </c>
      <c r="AQ1507" s="20">
        <v>1356.66</v>
      </c>
    </row>
    <row r="1508" ht="22.5" hidden="1" customHeight="1">
      <c r="AJ1508" s="20" t="s">
        <v>65</v>
      </c>
      <c r="AK1508" s="21">
        <v>5.0</v>
      </c>
      <c r="AL1508" s="20" t="s">
        <v>5</v>
      </c>
      <c r="AM1508" s="20" t="s">
        <v>54</v>
      </c>
      <c r="AN1508" s="21">
        <v>1412.0</v>
      </c>
      <c r="AO1508" s="21">
        <v>20.0</v>
      </c>
      <c r="AP1508" s="20">
        <v>50424.0</v>
      </c>
      <c r="AQ1508" s="20">
        <v>1357.01</v>
      </c>
    </row>
    <row r="1509" ht="22.5" hidden="1" customHeight="1">
      <c r="AJ1509" s="20" t="s">
        <v>65</v>
      </c>
      <c r="AK1509" s="21">
        <v>5.0</v>
      </c>
      <c r="AL1509" s="20" t="s">
        <v>3</v>
      </c>
      <c r="AM1509" s="20" t="s">
        <v>53</v>
      </c>
      <c r="AN1509" s="21">
        <v>1412.0</v>
      </c>
      <c r="AO1509" s="21">
        <v>20.0</v>
      </c>
      <c r="AP1509" s="20">
        <v>45960.0</v>
      </c>
      <c r="AQ1509" s="20">
        <v>1357.08</v>
      </c>
    </row>
    <row r="1510" ht="22.5" hidden="1" customHeight="1">
      <c r="AJ1510" s="20" t="s">
        <v>65</v>
      </c>
      <c r="AK1510" s="21">
        <v>5.0</v>
      </c>
      <c r="AL1510" s="20" t="s">
        <v>5</v>
      </c>
      <c r="AM1510" s="20" t="s">
        <v>57</v>
      </c>
      <c r="AN1510" s="21">
        <v>1156.0</v>
      </c>
      <c r="AO1510" s="21">
        <v>20.0</v>
      </c>
      <c r="AP1510" s="20">
        <v>55771.0</v>
      </c>
      <c r="AQ1510" s="20">
        <v>1358.1</v>
      </c>
    </row>
    <row r="1511" ht="22.5" hidden="1" customHeight="1">
      <c r="AJ1511" s="20" t="s">
        <v>65</v>
      </c>
      <c r="AK1511" s="21">
        <v>4.0</v>
      </c>
      <c r="AL1511" s="20" t="s">
        <v>4</v>
      </c>
      <c r="AM1511" s="20" t="s">
        <v>53</v>
      </c>
      <c r="AN1511" s="21">
        <v>1412.0</v>
      </c>
      <c r="AO1511" s="21">
        <v>10.0</v>
      </c>
      <c r="AP1511" s="20">
        <v>64701.0</v>
      </c>
      <c r="AQ1511" s="20">
        <v>1358.51</v>
      </c>
    </row>
    <row r="1512" ht="22.5" hidden="1" customHeight="1">
      <c r="AJ1512" s="20" t="s">
        <v>65</v>
      </c>
      <c r="AK1512" s="21">
        <v>4.0</v>
      </c>
      <c r="AL1512" s="20" t="s">
        <v>4</v>
      </c>
      <c r="AM1512" s="20" t="s">
        <v>53</v>
      </c>
      <c r="AN1512" s="21">
        <v>2948.0</v>
      </c>
      <c r="AO1512" s="21">
        <v>10.0</v>
      </c>
      <c r="AP1512" s="20">
        <v>64698.0</v>
      </c>
      <c r="AQ1512" s="20">
        <v>1358.79</v>
      </c>
    </row>
    <row r="1513" ht="22.5" hidden="1" customHeight="1">
      <c r="AJ1513" s="20" t="s">
        <v>65</v>
      </c>
      <c r="AK1513" s="21">
        <v>5.0</v>
      </c>
      <c r="AL1513" s="20" t="s">
        <v>5</v>
      </c>
      <c r="AM1513" s="20" t="s">
        <v>57</v>
      </c>
      <c r="AN1513" s="21">
        <v>1924.0</v>
      </c>
      <c r="AO1513" s="21">
        <v>20.0</v>
      </c>
      <c r="AP1513" s="20">
        <v>55954.0</v>
      </c>
      <c r="AQ1513" s="20">
        <v>1358.92</v>
      </c>
    </row>
    <row r="1514" ht="22.5" hidden="1" customHeight="1">
      <c r="AJ1514" s="20" t="s">
        <v>65</v>
      </c>
      <c r="AK1514" s="21">
        <v>5.0</v>
      </c>
      <c r="AL1514" s="20" t="s">
        <v>5</v>
      </c>
      <c r="AM1514" s="20" t="s">
        <v>57</v>
      </c>
      <c r="AN1514" s="21">
        <v>66436.0</v>
      </c>
      <c r="AO1514" s="21">
        <v>20.0</v>
      </c>
      <c r="AP1514" s="20">
        <v>56465.0</v>
      </c>
      <c r="AQ1514" s="20">
        <v>1360.69</v>
      </c>
    </row>
    <row r="1515" ht="22.5" hidden="1" customHeight="1">
      <c r="AJ1515" s="20" t="s">
        <v>65</v>
      </c>
      <c r="AK1515" s="21">
        <v>5.0</v>
      </c>
      <c r="AL1515" s="20" t="s">
        <v>4</v>
      </c>
      <c r="AM1515" s="20" t="s">
        <v>54</v>
      </c>
      <c r="AN1515" s="21">
        <v>66436.0</v>
      </c>
      <c r="AO1515" s="21">
        <v>10.0</v>
      </c>
      <c r="AP1515" s="20">
        <v>50404.0</v>
      </c>
      <c r="AQ1515" s="20">
        <v>1361.8</v>
      </c>
    </row>
    <row r="1516" ht="22.5" hidden="1" customHeight="1">
      <c r="AJ1516" s="20" t="s">
        <v>65</v>
      </c>
      <c r="AK1516" s="21">
        <v>4.0</v>
      </c>
      <c r="AL1516" s="20" t="s">
        <v>4</v>
      </c>
      <c r="AM1516" s="20" t="s">
        <v>57</v>
      </c>
      <c r="AN1516" s="21">
        <v>2948.0</v>
      </c>
      <c r="AO1516" s="21">
        <v>10.0</v>
      </c>
      <c r="AP1516" s="20">
        <v>80959.0</v>
      </c>
      <c r="AQ1516" s="20">
        <v>1361.92</v>
      </c>
    </row>
    <row r="1517" ht="22.5" hidden="1" customHeight="1">
      <c r="AJ1517" s="20" t="s">
        <v>65</v>
      </c>
      <c r="AK1517" s="21">
        <v>5.0</v>
      </c>
      <c r="AL1517" s="20" t="s">
        <v>4</v>
      </c>
      <c r="AM1517" s="20" t="s">
        <v>53</v>
      </c>
      <c r="AN1517" s="21">
        <v>17284.0</v>
      </c>
      <c r="AO1517" s="21">
        <v>10.0</v>
      </c>
      <c r="AP1517" s="20">
        <v>46063.0</v>
      </c>
      <c r="AQ1517" s="20">
        <v>1362.02</v>
      </c>
    </row>
    <row r="1518" ht="22.5" hidden="1" customHeight="1">
      <c r="AJ1518" s="20" t="s">
        <v>65</v>
      </c>
      <c r="AK1518" s="21">
        <v>4.0</v>
      </c>
      <c r="AL1518" s="20" t="s">
        <v>4</v>
      </c>
      <c r="AM1518" s="20" t="s">
        <v>56</v>
      </c>
      <c r="AN1518" s="21">
        <v>1924.0</v>
      </c>
      <c r="AO1518" s="21">
        <v>10.0</v>
      </c>
      <c r="AP1518" s="20">
        <v>76855.0</v>
      </c>
      <c r="AQ1518" s="20">
        <v>1363.72</v>
      </c>
    </row>
    <row r="1519" ht="22.5" hidden="1" customHeight="1">
      <c r="AJ1519" s="20" t="s">
        <v>65</v>
      </c>
      <c r="AK1519" s="21">
        <v>5.0</v>
      </c>
      <c r="AL1519" s="20" t="s">
        <v>2</v>
      </c>
      <c r="AM1519" s="20" t="s">
        <v>46</v>
      </c>
      <c r="AN1519" s="21">
        <v>2948.0</v>
      </c>
      <c r="AO1519" s="21">
        <v>10.0</v>
      </c>
      <c r="AP1519" s="20">
        <v>52932.0</v>
      </c>
      <c r="AQ1519" s="20">
        <v>1363.74</v>
      </c>
    </row>
    <row r="1520" ht="22.5" hidden="1" customHeight="1">
      <c r="AJ1520" s="20" t="s">
        <v>65</v>
      </c>
      <c r="AK1520" s="21">
        <v>5.0</v>
      </c>
      <c r="AL1520" s="20" t="s">
        <v>5</v>
      </c>
      <c r="AM1520" s="20" t="s">
        <v>53</v>
      </c>
      <c r="AN1520" s="21">
        <v>2948.0</v>
      </c>
      <c r="AO1520" s="21">
        <v>20.0</v>
      </c>
      <c r="AP1520" s="20">
        <v>46004.0</v>
      </c>
      <c r="AQ1520" s="20">
        <v>1363.88</v>
      </c>
    </row>
    <row r="1521" ht="22.5" hidden="1" customHeight="1">
      <c r="AJ1521" s="20" t="s">
        <v>65</v>
      </c>
      <c r="AK1521" s="21">
        <v>5.0</v>
      </c>
      <c r="AL1521" s="20" t="s">
        <v>2</v>
      </c>
      <c r="AM1521" s="20" t="s">
        <v>53</v>
      </c>
      <c r="AN1521" s="21">
        <v>2948.0</v>
      </c>
      <c r="AO1521" s="21">
        <v>10.0</v>
      </c>
      <c r="AP1521" s="20">
        <v>46004.0</v>
      </c>
      <c r="AQ1521" s="20">
        <v>1363.89</v>
      </c>
    </row>
    <row r="1522" ht="22.5" hidden="1" customHeight="1">
      <c r="AJ1522" s="20" t="s">
        <v>65</v>
      </c>
      <c r="AK1522" s="21">
        <v>5.0</v>
      </c>
      <c r="AL1522" s="20" t="s">
        <v>5</v>
      </c>
      <c r="AM1522" s="20" t="s">
        <v>55</v>
      </c>
      <c r="AN1522" s="21">
        <v>2948.0</v>
      </c>
      <c r="AO1522" s="21">
        <v>20.0</v>
      </c>
      <c r="AP1522" s="20">
        <v>55987.0</v>
      </c>
      <c r="AQ1522" s="20">
        <v>1364.73</v>
      </c>
    </row>
    <row r="1523" ht="22.5" hidden="1" customHeight="1">
      <c r="AJ1523" s="20" t="s">
        <v>65</v>
      </c>
      <c r="AK1523" s="21">
        <v>5.0</v>
      </c>
      <c r="AL1523" s="20" t="s">
        <v>4</v>
      </c>
      <c r="AM1523" s="20" t="s">
        <v>57</v>
      </c>
      <c r="AN1523" s="21">
        <v>33668.0</v>
      </c>
      <c r="AO1523" s="21">
        <v>10.0</v>
      </c>
      <c r="AP1523" s="20">
        <v>55771.0</v>
      </c>
      <c r="AQ1523" s="20">
        <v>1364.92</v>
      </c>
    </row>
    <row r="1524" ht="22.5" hidden="1" customHeight="1">
      <c r="AJ1524" s="20" t="s">
        <v>65</v>
      </c>
      <c r="AK1524" s="21">
        <v>5.0</v>
      </c>
      <c r="AL1524" s="20" t="s">
        <v>5</v>
      </c>
      <c r="AM1524" s="20" t="s">
        <v>52</v>
      </c>
      <c r="AN1524" s="21">
        <v>4996.0</v>
      </c>
      <c r="AO1524" s="21">
        <v>20.0</v>
      </c>
      <c r="AP1524" s="20">
        <v>50804.0</v>
      </c>
      <c r="AQ1524" s="20">
        <v>1366.12</v>
      </c>
    </row>
    <row r="1525" ht="22.5" hidden="1" customHeight="1">
      <c r="AJ1525" s="20" t="s">
        <v>65</v>
      </c>
      <c r="AK1525" s="21">
        <v>4.0</v>
      </c>
      <c r="AL1525" s="20" t="s">
        <v>4</v>
      </c>
      <c r="AM1525" s="20" t="s">
        <v>56</v>
      </c>
      <c r="AN1525" s="21">
        <v>131972.0</v>
      </c>
      <c r="AO1525" s="21">
        <v>10.0</v>
      </c>
      <c r="AP1525" s="20">
        <v>76855.0</v>
      </c>
      <c r="AQ1525" s="20">
        <v>1366.56</v>
      </c>
    </row>
    <row r="1526" ht="22.5" hidden="1" customHeight="1">
      <c r="AJ1526" s="20" t="s">
        <v>65</v>
      </c>
      <c r="AK1526" s="21">
        <v>5.0</v>
      </c>
      <c r="AL1526" s="20" t="s">
        <v>4</v>
      </c>
      <c r="AM1526" s="20" t="s">
        <v>53</v>
      </c>
      <c r="AN1526" s="21">
        <v>4996.0</v>
      </c>
      <c r="AO1526" s="21">
        <v>10.0</v>
      </c>
      <c r="AP1526" s="20">
        <v>45960.0</v>
      </c>
      <c r="AQ1526" s="20">
        <v>1367.88</v>
      </c>
    </row>
    <row r="1527" ht="22.5" hidden="1" customHeight="1">
      <c r="AJ1527" s="20" t="s">
        <v>65</v>
      </c>
      <c r="AK1527" s="21">
        <v>5.0</v>
      </c>
      <c r="AL1527" s="20" t="s">
        <v>4</v>
      </c>
      <c r="AM1527" s="20" t="s">
        <v>57</v>
      </c>
      <c r="AN1527" s="21">
        <v>2948.0</v>
      </c>
      <c r="AO1527" s="21">
        <v>10.0</v>
      </c>
      <c r="AP1527" s="20">
        <v>56310.0</v>
      </c>
      <c r="AQ1527" s="20">
        <v>1370.01</v>
      </c>
    </row>
    <row r="1528" ht="22.5" hidden="1" customHeight="1">
      <c r="AJ1528" s="20" t="s">
        <v>65</v>
      </c>
      <c r="AK1528" s="21">
        <v>5.0</v>
      </c>
      <c r="AL1528" s="20" t="s">
        <v>4</v>
      </c>
      <c r="AM1528" s="20" t="s">
        <v>57</v>
      </c>
      <c r="AN1528" s="21">
        <v>17284.0</v>
      </c>
      <c r="AO1528" s="21">
        <v>10.0</v>
      </c>
      <c r="AP1528" s="20">
        <v>56120.0</v>
      </c>
      <c r="AQ1528" s="20">
        <v>1370.65</v>
      </c>
    </row>
    <row r="1529" ht="22.5" hidden="1" customHeight="1">
      <c r="AJ1529" s="20" t="s">
        <v>65</v>
      </c>
      <c r="AK1529" s="21">
        <v>5.0</v>
      </c>
      <c r="AL1529" s="20" t="s">
        <v>3</v>
      </c>
      <c r="AM1529" s="20" t="s">
        <v>57</v>
      </c>
      <c r="AN1529" s="21">
        <v>1412.0</v>
      </c>
      <c r="AO1529" s="21">
        <v>20.0</v>
      </c>
      <c r="AP1529" s="20">
        <v>55954.0</v>
      </c>
      <c r="AQ1529" s="20">
        <v>1370.91</v>
      </c>
    </row>
    <row r="1530" ht="22.5" hidden="1" customHeight="1">
      <c r="AJ1530" s="20" t="s">
        <v>65</v>
      </c>
      <c r="AK1530" s="21">
        <v>4.0</v>
      </c>
      <c r="AL1530" s="20" t="s">
        <v>4</v>
      </c>
      <c r="AM1530" s="20" t="s">
        <v>53</v>
      </c>
      <c r="AN1530" s="21">
        <v>17284.0</v>
      </c>
      <c r="AO1530" s="21">
        <v>10.0</v>
      </c>
      <c r="AP1530" s="20">
        <v>64718.0</v>
      </c>
      <c r="AQ1530" s="20">
        <v>1370.98</v>
      </c>
    </row>
    <row r="1531" ht="22.5" hidden="1" customHeight="1">
      <c r="AJ1531" s="20" t="s">
        <v>65</v>
      </c>
      <c r="AK1531" s="21">
        <v>5.0</v>
      </c>
      <c r="AL1531" s="20" t="s">
        <v>2</v>
      </c>
      <c r="AM1531" s="20" t="s">
        <v>57</v>
      </c>
      <c r="AN1531" s="21">
        <v>1412.0</v>
      </c>
      <c r="AO1531" s="21">
        <v>10.0</v>
      </c>
      <c r="AP1531" s="20">
        <v>55954.0</v>
      </c>
      <c r="AQ1531" s="20">
        <v>1371.13</v>
      </c>
    </row>
    <row r="1532" ht="22.5" hidden="1" customHeight="1">
      <c r="AJ1532" s="20" t="s">
        <v>65</v>
      </c>
      <c r="AK1532" s="21">
        <v>5.0</v>
      </c>
      <c r="AL1532" s="20" t="s">
        <v>3</v>
      </c>
      <c r="AM1532" s="20" t="s">
        <v>57</v>
      </c>
      <c r="AN1532" s="21">
        <v>1156.0</v>
      </c>
      <c r="AO1532" s="21">
        <v>20.0</v>
      </c>
      <c r="AP1532" s="20">
        <v>55771.0</v>
      </c>
      <c r="AQ1532" s="20">
        <v>1371.26</v>
      </c>
    </row>
    <row r="1533" ht="22.5" hidden="1" customHeight="1">
      <c r="AJ1533" s="20" t="s">
        <v>65</v>
      </c>
      <c r="AK1533" s="21">
        <v>5.0</v>
      </c>
      <c r="AL1533" s="20" t="s">
        <v>5</v>
      </c>
      <c r="AM1533" s="20" t="s">
        <v>53</v>
      </c>
      <c r="AN1533" s="21">
        <v>17284.0</v>
      </c>
      <c r="AO1533" s="21">
        <v>20.0</v>
      </c>
      <c r="AP1533" s="20">
        <v>46063.0</v>
      </c>
      <c r="AQ1533" s="20">
        <v>1372.42</v>
      </c>
    </row>
    <row r="1534" ht="22.5" hidden="1" customHeight="1">
      <c r="AJ1534" s="20" t="s">
        <v>65</v>
      </c>
      <c r="AK1534" s="21">
        <v>5.0</v>
      </c>
      <c r="AL1534" s="20" t="s">
        <v>2</v>
      </c>
      <c r="AM1534" s="20" t="s">
        <v>47</v>
      </c>
      <c r="AN1534" s="21">
        <v>1412.0</v>
      </c>
      <c r="AO1534" s="21">
        <v>10.0</v>
      </c>
      <c r="AP1534" s="20">
        <v>54844.0</v>
      </c>
      <c r="AQ1534" s="20">
        <v>1373.54</v>
      </c>
    </row>
    <row r="1535" ht="22.5" hidden="1" customHeight="1">
      <c r="AJ1535" s="20" t="s">
        <v>65</v>
      </c>
      <c r="AK1535" s="21">
        <v>5.0</v>
      </c>
      <c r="AL1535" s="20" t="s">
        <v>3</v>
      </c>
      <c r="AM1535" s="20" t="s">
        <v>54</v>
      </c>
      <c r="AN1535" s="21">
        <v>4996.0</v>
      </c>
      <c r="AO1535" s="21">
        <v>20.0</v>
      </c>
      <c r="AP1535" s="20">
        <v>50404.0</v>
      </c>
      <c r="AQ1535" s="20">
        <v>1374.94</v>
      </c>
    </row>
    <row r="1536" ht="22.5" hidden="1" customHeight="1">
      <c r="AJ1536" s="20" t="s">
        <v>65</v>
      </c>
      <c r="AK1536" s="21">
        <v>5.0</v>
      </c>
      <c r="AL1536" s="20" t="s">
        <v>2</v>
      </c>
      <c r="AM1536" s="20" t="s">
        <v>47</v>
      </c>
      <c r="AN1536" s="21">
        <v>1924.0</v>
      </c>
      <c r="AO1536" s="21">
        <v>10.0</v>
      </c>
      <c r="AP1536" s="20">
        <v>54844.0</v>
      </c>
      <c r="AQ1536" s="20">
        <v>1375.67</v>
      </c>
    </row>
    <row r="1537" ht="22.5" hidden="1" customHeight="1">
      <c r="AJ1537" s="20" t="s">
        <v>65</v>
      </c>
      <c r="AK1537" s="21">
        <v>4.0</v>
      </c>
      <c r="AL1537" s="20" t="s">
        <v>4</v>
      </c>
      <c r="AM1537" s="20" t="s">
        <v>54</v>
      </c>
      <c r="AN1537" s="21">
        <v>1924.0</v>
      </c>
      <c r="AO1537" s="21">
        <v>10.0</v>
      </c>
      <c r="AP1537" s="20">
        <v>71707.0</v>
      </c>
      <c r="AQ1537" s="20">
        <v>1376.12</v>
      </c>
    </row>
    <row r="1538" ht="22.5" hidden="1" customHeight="1">
      <c r="AJ1538" s="20" t="s">
        <v>65</v>
      </c>
      <c r="AK1538" s="21">
        <v>5.0</v>
      </c>
      <c r="AL1538" s="20" t="s">
        <v>3</v>
      </c>
      <c r="AM1538" s="20" t="s">
        <v>52</v>
      </c>
      <c r="AN1538" s="21">
        <v>4996.0</v>
      </c>
      <c r="AO1538" s="21">
        <v>20.0</v>
      </c>
      <c r="AP1538" s="20">
        <v>50804.0</v>
      </c>
      <c r="AQ1538" s="20">
        <v>1379.94</v>
      </c>
    </row>
    <row r="1539" ht="22.5" hidden="1" customHeight="1">
      <c r="AJ1539" s="20" t="s">
        <v>65</v>
      </c>
      <c r="AK1539" s="21">
        <v>5.0</v>
      </c>
      <c r="AL1539" s="20" t="s">
        <v>3</v>
      </c>
      <c r="AM1539" s="20" t="s">
        <v>47</v>
      </c>
      <c r="AN1539" s="21">
        <v>1156.0</v>
      </c>
      <c r="AO1539" s="21">
        <v>20.0</v>
      </c>
      <c r="AP1539" s="20">
        <v>54844.0</v>
      </c>
      <c r="AQ1539" s="20">
        <v>1390.09</v>
      </c>
    </row>
    <row r="1540" ht="22.5" hidden="1" customHeight="1">
      <c r="AJ1540" s="20" t="s">
        <v>65</v>
      </c>
      <c r="AK1540" s="21">
        <v>4.0</v>
      </c>
      <c r="AL1540" s="20" t="s">
        <v>4</v>
      </c>
      <c r="AM1540" s="20" t="s">
        <v>56</v>
      </c>
      <c r="AN1540" s="21">
        <v>66436.0</v>
      </c>
      <c r="AO1540" s="21">
        <v>10.0</v>
      </c>
      <c r="AP1540" s="20">
        <v>76855.0</v>
      </c>
      <c r="AQ1540" s="20">
        <v>1390.16</v>
      </c>
    </row>
    <row r="1541" ht="22.5" hidden="1" customHeight="1">
      <c r="AJ1541" s="20" t="s">
        <v>65</v>
      </c>
      <c r="AK1541" s="21">
        <v>4.0</v>
      </c>
      <c r="AL1541" s="20" t="s">
        <v>4</v>
      </c>
      <c r="AM1541" s="20" t="s">
        <v>57</v>
      </c>
      <c r="AN1541" s="21">
        <v>9092.0</v>
      </c>
      <c r="AO1541" s="21">
        <v>10.0</v>
      </c>
      <c r="AP1541" s="20">
        <v>81174.0</v>
      </c>
      <c r="AQ1541" s="20">
        <v>1390.4</v>
      </c>
    </row>
    <row r="1542" ht="22.5" hidden="1" customHeight="1">
      <c r="AJ1542" s="20" t="s">
        <v>65</v>
      </c>
      <c r="AK1542" s="21">
        <v>5.0</v>
      </c>
      <c r="AL1542" s="20" t="s">
        <v>3</v>
      </c>
      <c r="AM1542" s="20" t="s">
        <v>53</v>
      </c>
      <c r="AN1542" s="21">
        <v>2948.0</v>
      </c>
      <c r="AO1542" s="21">
        <v>20.0</v>
      </c>
      <c r="AP1542" s="20">
        <v>46004.0</v>
      </c>
      <c r="AQ1542" s="20">
        <v>1392.1</v>
      </c>
    </row>
    <row r="1543" ht="22.5" hidden="1" customHeight="1">
      <c r="AJ1543" s="20" t="s">
        <v>65</v>
      </c>
      <c r="AK1543" s="21">
        <v>4.0</v>
      </c>
      <c r="AL1543" s="20" t="s">
        <v>4</v>
      </c>
      <c r="AM1543" s="20" t="s">
        <v>56</v>
      </c>
      <c r="AN1543" s="21">
        <v>4996.0</v>
      </c>
      <c r="AO1543" s="21">
        <v>10.0</v>
      </c>
      <c r="AP1543" s="20">
        <v>76867.0</v>
      </c>
      <c r="AQ1543" s="20">
        <v>1393.6</v>
      </c>
    </row>
    <row r="1544" ht="22.5" hidden="1" customHeight="1">
      <c r="AJ1544" s="20" t="s">
        <v>65</v>
      </c>
      <c r="AK1544" s="21">
        <v>5.0</v>
      </c>
      <c r="AL1544" s="20" t="s">
        <v>5</v>
      </c>
      <c r="AM1544" s="20" t="s">
        <v>53</v>
      </c>
      <c r="AN1544" s="21">
        <v>4996.0</v>
      </c>
      <c r="AO1544" s="21">
        <v>20.0</v>
      </c>
      <c r="AP1544" s="20">
        <v>45960.0</v>
      </c>
      <c r="AQ1544" s="20">
        <v>1394.4</v>
      </c>
    </row>
    <row r="1545" ht="22.5" hidden="1" customHeight="1">
      <c r="AJ1545" s="20" t="s">
        <v>65</v>
      </c>
      <c r="AK1545" s="21">
        <v>5.0</v>
      </c>
      <c r="AL1545" s="20" t="s">
        <v>5</v>
      </c>
      <c r="AM1545" s="20" t="s">
        <v>57</v>
      </c>
      <c r="AN1545" s="21">
        <v>9092.0</v>
      </c>
      <c r="AO1545" s="21">
        <v>20.0</v>
      </c>
      <c r="AP1545" s="20">
        <v>56465.0</v>
      </c>
      <c r="AQ1545" s="20">
        <v>1397.35</v>
      </c>
    </row>
    <row r="1546" ht="22.5" hidden="1" customHeight="1">
      <c r="AJ1546" s="20" t="s">
        <v>65</v>
      </c>
      <c r="AK1546" s="21">
        <v>5.0</v>
      </c>
      <c r="AL1546" s="20" t="s">
        <v>4</v>
      </c>
      <c r="AM1546" s="20" t="s">
        <v>57</v>
      </c>
      <c r="AN1546" s="21">
        <v>4996.0</v>
      </c>
      <c r="AO1546" s="21">
        <v>10.0</v>
      </c>
      <c r="AP1546" s="20">
        <v>56465.0</v>
      </c>
      <c r="AQ1546" s="20">
        <v>1402.27</v>
      </c>
    </row>
    <row r="1547" ht="22.5" hidden="1" customHeight="1">
      <c r="AJ1547" s="20" t="s">
        <v>65</v>
      </c>
      <c r="AK1547" s="21">
        <v>5.0</v>
      </c>
      <c r="AL1547" s="20" t="s">
        <v>2</v>
      </c>
      <c r="AM1547" s="20" t="s">
        <v>57</v>
      </c>
      <c r="AN1547" s="21">
        <v>2948.0</v>
      </c>
      <c r="AO1547" s="21">
        <v>10.0</v>
      </c>
      <c r="AP1547" s="20">
        <v>56310.0</v>
      </c>
      <c r="AQ1547" s="20">
        <v>1403.8</v>
      </c>
    </row>
    <row r="1548" ht="22.5" hidden="1" customHeight="1">
      <c r="AJ1548" s="20" t="s">
        <v>65</v>
      </c>
      <c r="AK1548" s="21">
        <v>5.0</v>
      </c>
      <c r="AL1548" s="20" t="s">
        <v>3</v>
      </c>
      <c r="AM1548" s="20" t="s">
        <v>57</v>
      </c>
      <c r="AN1548" s="21">
        <v>2948.0</v>
      </c>
      <c r="AO1548" s="21">
        <v>20.0</v>
      </c>
      <c r="AP1548" s="20">
        <v>56310.0</v>
      </c>
      <c r="AQ1548" s="20">
        <v>1410.79</v>
      </c>
    </row>
    <row r="1549" ht="22.5" hidden="1" customHeight="1">
      <c r="AJ1549" s="20" t="s">
        <v>65</v>
      </c>
      <c r="AK1549" s="21">
        <v>5.0</v>
      </c>
      <c r="AL1549" s="20" t="s">
        <v>4</v>
      </c>
      <c r="AM1549" s="20" t="s">
        <v>53</v>
      </c>
      <c r="AN1549" s="21">
        <v>1156.0</v>
      </c>
      <c r="AO1549" s="21">
        <v>10.0</v>
      </c>
      <c r="AP1549" s="20">
        <v>46150.0</v>
      </c>
      <c r="AQ1549" s="20">
        <v>1411.99</v>
      </c>
    </row>
    <row r="1550" ht="22.5" hidden="1" customHeight="1">
      <c r="AJ1550" s="20" t="s">
        <v>65</v>
      </c>
      <c r="AK1550" s="21">
        <v>5.0</v>
      </c>
      <c r="AL1550" s="20" t="s">
        <v>3</v>
      </c>
      <c r="AM1550" s="20" t="s">
        <v>53</v>
      </c>
      <c r="AN1550" s="21">
        <v>4996.0</v>
      </c>
      <c r="AO1550" s="21">
        <v>20.0</v>
      </c>
      <c r="AP1550" s="20">
        <v>45960.0</v>
      </c>
      <c r="AQ1550" s="20">
        <v>1414.23</v>
      </c>
    </row>
    <row r="1551" ht="22.5" hidden="1" customHeight="1">
      <c r="AJ1551" s="20" t="s">
        <v>65</v>
      </c>
      <c r="AK1551" s="21">
        <v>4.0</v>
      </c>
      <c r="AL1551" s="20" t="s">
        <v>4</v>
      </c>
      <c r="AM1551" s="20" t="s">
        <v>53</v>
      </c>
      <c r="AN1551" s="21">
        <v>9092.0</v>
      </c>
      <c r="AO1551" s="21">
        <v>10.0</v>
      </c>
      <c r="AP1551" s="20">
        <v>64698.0</v>
      </c>
      <c r="AQ1551" s="20">
        <v>1414.84</v>
      </c>
    </row>
    <row r="1552" ht="22.5" hidden="1" customHeight="1">
      <c r="AJ1552" s="20" t="s">
        <v>65</v>
      </c>
      <c r="AK1552" s="21">
        <v>5.0</v>
      </c>
      <c r="AL1552" s="20" t="s">
        <v>4</v>
      </c>
      <c r="AM1552" s="20" t="s">
        <v>57</v>
      </c>
      <c r="AN1552" s="21">
        <v>131972.0</v>
      </c>
      <c r="AO1552" s="21">
        <v>10.0</v>
      </c>
      <c r="AP1552" s="20">
        <v>55771.0</v>
      </c>
      <c r="AQ1552" s="20">
        <v>1415.06</v>
      </c>
    </row>
    <row r="1553" ht="22.5" hidden="1" customHeight="1">
      <c r="AJ1553" s="20" t="s">
        <v>65</v>
      </c>
      <c r="AK1553" s="21">
        <v>5.0</v>
      </c>
      <c r="AL1553" s="20" t="s">
        <v>5</v>
      </c>
      <c r="AM1553" s="20" t="s">
        <v>57</v>
      </c>
      <c r="AN1553" s="21">
        <v>1412.0</v>
      </c>
      <c r="AO1553" s="21">
        <v>20.0</v>
      </c>
      <c r="AP1553" s="20">
        <v>55954.0</v>
      </c>
      <c r="AQ1553" s="20">
        <v>1417.32</v>
      </c>
    </row>
    <row r="1554" ht="22.5" hidden="1" customHeight="1">
      <c r="AJ1554" s="20" t="s">
        <v>65</v>
      </c>
      <c r="AK1554" s="21">
        <v>5.0</v>
      </c>
      <c r="AL1554" s="20" t="s">
        <v>5</v>
      </c>
      <c r="AM1554" s="20" t="s">
        <v>57</v>
      </c>
      <c r="AN1554" s="21">
        <v>2948.0</v>
      </c>
      <c r="AO1554" s="21">
        <v>20.0</v>
      </c>
      <c r="AP1554" s="20">
        <v>56310.0</v>
      </c>
      <c r="AQ1554" s="20">
        <v>1420.95</v>
      </c>
    </row>
    <row r="1555" ht="22.5" hidden="1" customHeight="1">
      <c r="AJ1555" s="20" t="s">
        <v>65</v>
      </c>
      <c r="AK1555" s="21">
        <v>4.0</v>
      </c>
      <c r="AL1555" s="20" t="s">
        <v>4</v>
      </c>
      <c r="AM1555" s="20" t="s">
        <v>53</v>
      </c>
      <c r="AN1555" s="21">
        <v>4996.0</v>
      </c>
      <c r="AO1555" s="21">
        <v>10.0</v>
      </c>
      <c r="AP1555" s="20">
        <v>64718.0</v>
      </c>
      <c r="AQ1555" s="20">
        <v>1421.84</v>
      </c>
    </row>
    <row r="1556" ht="22.5" hidden="1" customHeight="1">
      <c r="AJ1556" s="20" t="s">
        <v>65</v>
      </c>
      <c r="AK1556" s="21">
        <v>5.0</v>
      </c>
      <c r="AL1556" s="20" t="s">
        <v>5</v>
      </c>
      <c r="AM1556" s="20" t="s">
        <v>57</v>
      </c>
      <c r="AN1556" s="21">
        <v>33668.0</v>
      </c>
      <c r="AO1556" s="21">
        <v>20.0</v>
      </c>
      <c r="AP1556" s="20">
        <v>55771.0</v>
      </c>
      <c r="AQ1556" s="20">
        <v>1425.66</v>
      </c>
    </row>
    <row r="1557" ht="22.5" hidden="1" customHeight="1">
      <c r="AJ1557" s="20" t="s">
        <v>65</v>
      </c>
      <c r="AK1557" s="21">
        <v>4.0</v>
      </c>
      <c r="AL1557" s="20" t="s">
        <v>4</v>
      </c>
      <c r="AM1557" s="20" t="s">
        <v>57</v>
      </c>
      <c r="AN1557" s="21">
        <v>4996.0</v>
      </c>
      <c r="AO1557" s="21">
        <v>10.0</v>
      </c>
      <c r="AP1557" s="20">
        <v>80959.0</v>
      </c>
      <c r="AQ1557" s="20">
        <v>1429.22</v>
      </c>
    </row>
    <row r="1558" ht="22.5" hidden="1" customHeight="1">
      <c r="AJ1558" s="20" t="s">
        <v>65</v>
      </c>
      <c r="AK1558" s="21">
        <v>5.0</v>
      </c>
      <c r="AL1558" s="20" t="s">
        <v>2</v>
      </c>
      <c r="AM1558" s="20" t="s">
        <v>53</v>
      </c>
      <c r="AN1558" s="21">
        <v>4996.0</v>
      </c>
      <c r="AO1558" s="21">
        <v>10.0</v>
      </c>
      <c r="AP1558" s="20">
        <v>45960.0</v>
      </c>
      <c r="AQ1558" s="20">
        <v>1432.7</v>
      </c>
    </row>
    <row r="1559" ht="22.5" hidden="1" customHeight="1">
      <c r="AJ1559" s="20" t="s">
        <v>65</v>
      </c>
      <c r="AK1559" s="21">
        <v>5.0</v>
      </c>
      <c r="AL1559" s="20" t="s">
        <v>5</v>
      </c>
      <c r="AM1559" s="20" t="s">
        <v>53</v>
      </c>
      <c r="AN1559" s="21">
        <v>131972.0</v>
      </c>
      <c r="AO1559" s="21">
        <v>20.0</v>
      </c>
      <c r="AP1559" s="20">
        <v>45980.0</v>
      </c>
      <c r="AQ1559" s="20">
        <v>1433.43</v>
      </c>
    </row>
    <row r="1560" ht="22.5" hidden="1" customHeight="1">
      <c r="AJ1560" s="20" t="s">
        <v>65</v>
      </c>
      <c r="AK1560" s="21">
        <v>4.0</v>
      </c>
      <c r="AL1560" s="20" t="s">
        <v>4</v>
      </c>
      <c r="AM1560" s="20" t="s">
        <v>57</v>
      </c>
      <c r="AN1560" s="21">
        <v>33668.0</v>
      </c>
      <c r="AO1560" s="21">
        <v>10.0</v>
      </c>
      <c r="AP1560" s="20">
        <v>81804.0</v>
      </c>
      <c r="AQ1560" s="20">
        <v>1438.63</v>
      </c>
    </row>
    <row r="1561" ht="22.5" hidden="1" customHeight="1">
      <c r="AJ1561" s="20" t="s">
        <v>65</v>
      </c>
      <c r="AK1561" s="21">
        <v>5.0</v>
      </c>
      <c r="AL1561" s="20" t="s">
        <v>5</v>
      </c>
      <c r="AM1561" s="20" t="s">
        <v>57</v>
      </c>
      <c r="AN1561" s="21">
        <v>131972.0</v>
      </c>
      <c r="AO1561" s="21">
        <v>20.0</v>
      </c>
      <c r="AP1561" s="20">
        <v>55771.0</v>
      </c>
      <c r="AQ1561" s="20">
        <v>1440.49</v>
      </c>
    </row>
    <row r="1562" ht="22.5" hidden="1" customHeight="1">
      <c r="AJ1562" s="20" t="s">
        <v>65</v>
      </c>
      <c r="AK1562" s="21">
        <v>4.0</v>
      </c>
      <c r="AL1562" s="20" t="s">
        <v>4</v>
      </c>
      <c r="AM1562" s="20" t="s">
        <v>46</v>
      </c>
      <c r="AN1562" s="21">
        <v>1156.0</v>
      </c>
      <c r="AO1562" s="21">
        <v>10.0</v>
      </c>
      <c r="AP1562" s="20">
        <v>73127.0</v>
      </c>
      <c r="AQ1562" s="20">
        <v>1440.99</v>
      </c>
    </row>
    <row r="1563" ht="22.5" hidden="1" customHeight="1">
      <c r="AJ1563" s="20" t="s">
        <v>65</v>
      </c>
      <c r="AK1563" s="21">
        <v>5.0</v>
      </c>
      <c r="AL1563" s="20" t="s">
        <v>5</v>
      </c>
      <c r="AM1563" s="20" t="s">
        <v>57</v>
      </c>
      <c r="AN1563" s="21">
        <v>4996.0</v>
      </c>
      <c r="AO1563" s="21">
        <v>20.0</v>
      </c>
      <c r="AP1563" s="20">
        <v>56465.0</v>
      </c>
      <c r="AQ1563" s="20">
        <v>1443.72</v>
      </c>
    </row>
    <row r="1564" ht="22.5" hidden="1" customHeight="1">
      <c r="AJ1564" s="20" t="s">
        <v>65</v>
      </c>
      <c r="AK1564" s="21">
        <v>5.0</v>
      </c>
      <c r="AL1564" s="20" t="s">
        <v>5</v>
      </c>
      <c r="AM1564" s="20" t="s">
        <v>57</v>
      </c>
      <c r="AN1564" s="21">
        <v>17284.0</v>
      </c>
      <c r="AO1564" s="21">
        <v>20.0</v>
      </c>
      <c r="AP1564" s="20">
        <v>56120.0</v>
      </c>
      <c r="AQ1564" s="20">
        <v>1445.24</v>
      </c>
    </row>
    <row r="1565" ht="22.5" hidden="1" customHeight="1">
      <c r="AJ1565" s="20" t="s">
        <v>65</v>
      </c>
      <c r="AK1565" s="21">
        <v>4.0</v>
      </c>
      <c r="AL1565" s="20" t="s">
        <v>4</v>
      </c>
      <c r="AM1565" s="20" t="s">
        <v>54</v>
      </c>
      <c r="AN1565" s="21">
        <v>1412.0</v>
      </c>
      <c r="AO1565" s="21">
        <v>10.0</v>
      </c>
      <c r="AP1565" s="20">
        <v>71707.0</v>
      </c>
      <c r="AQ1565" s="20">
        <v>1446.45</v>
      </c>
    </row>
    <row r="1566" ht="22.5" hidden="1" customHeight="1">
      <c r="AJ1566" s="20" t="s">
        <v>65</v>
      </c>
      <c r="AK1566" s="21">
        <v>5.0</v>
      </c>
      <c r="AL1566" s="20" t="s">
        <v>2</v>
      </c>
      <c r="AM1566" s="20" t="s">
        <v>53</v>
      </c>
      <c r="AN1566" s="21">
        <v>1156.0</v>
      </c>
      <c r="AO1566" s="21">
        <v>10.0</v>
      </c>
      <c r="AP1566" s="20">
        <v>46150.0</v>
      </c>
      <c r="AQ1566" s="20">
        <v>1446.76</v>
      </c>
    </row>
    <row r="1567" ht="22.5" hidden="1" customHeight="1">
      <c r="AJ1567" s="20" t="s">
        <v>65</v>
      </c>
      <c r="AK1567" s="21">
        <v>5.0</v>
      </c>
      <c r="AL1567" s="20" t="s">
        <v>2</v>
      </c>
      <c r="AM1567" s="20" t="s">
        <v>57</v>
      </c>
      <c r="AN1567" s="21">
        <v>4996.0</v>
      </c>
      <c r="AO1567" s="21">
        <v>10.0</v>
      </c>
      <c r="AP1567" s="20">
        <v>56465.0</v>
      </c>
      <c r="AQ1567" s="20">
        <v>1452.18</v>
      </c>
    </row>
    <row r="1568" ht="22.5" hidden="1" customHeight="1">
      <c r="AJ1568" s="20" t="s">
        <v>65</v>
      </c>
      <c r="AK1568" s="21">
        <v>5.0</v>
      </c>
      <c r="AL1568" s="20" t="s">
        <v>5</v>
      </c>
      <c r="AM1568" s="20" t="s">
        <v>53</v>
      </c>
      <c r="AN1568" s="21">
        <v>1156.0</v>
      </c>
      <c r="AO1568" s="21">
        <v>20.0</v>
      </c>
      <c r="AP1568" s="20">
        <v>46150.0</v>
      </c>
      <c r="AQ1568" s="20">
        <v>1452.99</v>
      </c>
    </row>
    <row r="1569" ht="22.5" hidden="1" customHeight="1">
      <c r="AJ1569" s="20" t="s">
        <v>65</v>
      </c>
      <c r="AK1569" s="21">
        <v>5.0</v>
      </c>
      <c r="AL1569" s="20" t="s">
        <v>5</v>
      </c>
      <c r="AM1569" s="20" t="s">
        <v>54</v>
      </c>
      <c r="AN1569" s="21">
        <v>66436.0</v>
      </c>
      <c r="AO1569" s="21">
        <v>20.0</v>
      </c>
      <c r="AP1569" s="20">
        <v>50404.0</v>
      </c>
      <c r="AQ1569" s="20">
        <v>1455.69</v>
      </c>
    </row>
    <row r="1570" ht="22.5" hidden="1" customHeight="1">
      <c r="AJ1570" s="20" t="s">
        <v>65</v>
      </c>
      <c r="AK1570" s="21">
        <v>5.0</v>
      </c>
      <c r="AL1570" s="20" t="s">
        <v>3</v>
      </c>
      <c r="AM1570" s="20" t="s">
        <v>57</v>
      </c>
      <c r="AN1570" s="21">
        <v>4996.0</v>
      </c>
      <c r="AO1570" s="21">
        <v>20.0</v>
      </c>
      <c r="AP1570" s="20">
        <v>56465.0</v>
      </c>
      <c r="AQ1570" s="20">
        <v>1457.38</v>
      </c>
    </row>
    <row r="1571" ht="22.5" hidden="1" customHeight="1">
      <c r="AJ1571" s="20" t="s">
        <v>65</v>
      </c>
      <c r="AK1571" s="21">
        <v>5.0</v>
      </c>
      <c r="AL1571" s="20" t="s">
        <v>3</v>
      </c>
      <c r="AM1571" s="20" t="s">
        <v>53</v>
      </c>
      <c r="AN1571" s="21">
        <v>1156.0</v>
      </c>
      <c r="AO1571" s="21">
        <v>20.0</v>
      </c>
      <c r="AP1571" s="20">
        <v>46150.0</v>
      </c>
      <c r="AQ1571" s="20">
        <v>1477.96</v>
      </c>
    </row>
    <row r="1572" ht="22.5" hidden="1" customHeight="1">
      <c r="AJ1572" s="20" t="s">
        <v>65</v>
      </c>
      <c r="AK1572" s="21">
        <v>5.0</v>
      </c>
      <c r="AL1572" s="20" t="s">
        <v>2</v>
      </c>
      <c r="AM1572" s="20" t="s">
        <v>47</v>
      </c>
      <c r="AN1572" s="21">
        <v>1156.0</v>
      </c>
      <c r="AO1572" s="21">
        <v>10.0</v>
      </c>
      <c r="AP1572" s="20">
        <v>54844.0</v>
      </c>
      <c r="AQ1572" s="20">
        <v>1480.86</v>
      </c>
    </row>
    <row r="1573" ht="22.5" hidden="1" customHeight="1">
      <c r="AJ1573" s="20" t="s">
        <v>65</v>
      </c>
      <c r="AK1573" s="21">
        <v>4.0</v>
      </c>
      <c r="AL1573" s="20" t="s">
        <v>4</v>
      </c>
      <c r="AM1573" s="20" t="s">
        <v>55</v>
      </c>
      <c r="AN1573" s="21">
        <v>17284.0</v>
      </c>
      <c r="AO1573" s="21">
        <v>10.0</v>
      </c>
      <c r="AP1573" s="20">
        <v>77941.0</v>
      </c>
      <c r="AQ1573" s="20">
        <v>1573.86</v>
      </c>
    </row>
    <row r="1574" ht="22.5" hidden="1" customHeight="1">
      <c r="AJ1574" s="20" t="s">
        <v>65</v>
      </c>
      <c r="AK1574" s="21">
        <v>4.0</v>
      </c>
      <c r="AL1574" s="20" t="s">
        <v>4</v>
      </c>
      <c r="AM1574" s="20" t="s">
        <v>54</v>
      </c>
      <c r="AN1574" s="21">
        <v>33668.0</v>
      </c>
      <c r="AO1574" s="21">
        <v>10.0</v>
      </c>
      <c r="AP1574" s="20">
        <v>71712.0</v>
      </c>
      <c r="AQ1574" s="20">
        <v>1655.96</v>
      </c>
    </row>
    <row r="1575" ht="22.5" hidden="1" customHeight="1">
      <c r="AJ1575" s="20" t="s">
        <v>65</v>
      </c>
      <c r="AK1575" s="21">
        <v>4.0</v>
      </c>
      <c r="AL1575" s="20" t="s">
        <v>4</v>
      </c>
      <c r="AM1575" s="20" t="s">
        <v>54</v>
      </c>
      <c r="AN1575" s="21">
        <v>17284.0</v>
      </c>
      <c r="AO1575" s="21">
        <v>10.0</v>
      </c>
      <c r="AP1575" s="20">
        <v>71707.0</v>
      </c>
      <c r="AQ1575" s="20">
        <v>1817.53</v>
      </c>
    </row>
    <row r="1576" ht="22.5" hidden="1" customHeight="1">
      <c r="AJ1576" s="20" t="s">
        <v>65</v>
      </c>
      <c r="AK1576" s="21">
        <v>4.0</v>
      </c>
      <c r="AL1576" s="20" t="s">
        <v>4</v>
      </c>
      <c r="AM1576" s="20" t="s">
        <v>54</v>
      </c>
      <c r="AN1576" s="21">
        <v>4996.0</v>
      </c>
      <c r="AO1576" s="21">
        <v>10.0</v>
      </c>
      <c r="AP1576" s="20">
        <v>71707.0</v>
      </c>
      <c r="AQ1576" s="20">
        <v>1866.92</v>
      </c>
    </row>
    <row r="1577" ht="22.5" hidden="1" customHeight="1">
      <c r="AJ1577" s="20" t="s">
        <v>65</v>
      </c>
      <c r="AK1577" s="21">
        <v>4.0</v>
      </c>
      <c r="AL1577" s="20" t="s">
        <v>4</v>
      </c>
      <c r="AM1577" s="20" t="s">
        <v>54</v>
      </c>
      <c r="AN1577" s="21">
        <v>9092.0</v>
      </c>
      <c r="AO1577" s="21">
        <v>10.0</v>
      </c>
      <c r="AP1577" s="20">
        <v>71712.0</v>
      </c>
      <c r="AQ1577" s="20">
        <v>1980.03</v>
      </c>
    </row>
    <row r="1578" ht="22.5" hidden="1" customHeight="1">
      <c r="AJ1578" s="20" t="s">
        <v>28</v>
      </c>
      <c r="AK1578" s="21">
        <v>1.0</v>
      </c>
      <c r="AL1578" s="20" t="s">
        <v>4</v>
      </c>
      <c r="AM1578" s="20" t="s">
        <v>37</v>
      </c>
      <c r="AN1578" s="21">
        <v>131972.0</v>
      </c>
      <c r="AO1578" s="21">
        <v>10.0</v>
      </c>
      <c r="AP1578" s="20">
        <v>10536.31</v>
      </c>
      <c r="AQ1578" s="20">
        <v>2112.74</v>
      </c>
    </row>
    <row r="1579" ht="22.5" hidden="1" customHeight="1">
      <c r="AJ1579" s="20" t="s">
        <v>28</v>
      </c>
      <c r="AK1579" s="21">
        <v>1.0</v>
      </c>
      <c r="AL1579" s="20" t="s">
        <v>4</v>
      </c>
      <c r="AM1579" s="20" t="s">
        <v>37</v>
      </c>
      <c r="AN1579" s="21">
        <v>4996.0</v>
      </c>
      <c r="AO1579" s="21">
        <v>10.0</v>
      </c>
      <c r="AP1579" s="20">
        <v>10536.31</v>
      </c>
      <c r="AQ1579" s="20">
        <v>2270.35</v>
      </c>
    </row>
    <row r="1580" ht="22.5" hidden="1" customHeight="1">
      <c r="AJ1580" s="20" t="s">
        <v>28</v>
      </c>
      <c r="AK1580" s="21">
        <v>1.0</v>
      </c>
      <c r="AL1580" s="20" t="s">
        <v>4</v>
      </c>
      <c r="AM1580" s="20" t="s">
        <v>37</v>
      </c>
      <c r="AN1580" s="21">
        <v>9092.0</v>
      </c>
      <c r="AO1580" s="21">
        <v>10.0</v>
      </c>
      <c r="AP1580" s="20">
        <v>10597.89</v>
      </c>
      <c r="AQ1580" s="20">
        <v>2294.13</v>
      </c>
    </row>
    <row r="1581" ht="22.5" hidden="1" customHeight="1">
      <c r="AJ1581" s="20" t="s">
        <v>28</v>
      </c>
      <c r="AK1581" s="21">
        <v>1.0</v>
      </c>
      <c r="AL1581" s="20" t="s">
        <v>4</v>
      </c>
      <c r="AM1581" s="20" t="s">
        <v>37</v>
      </c>
      <c r="AN1581" s="21">
        <v>1924.0</v>
      </c>
      <c r="AO1581" s="21">
        <v>10.0</v>
      </c>
      <c r="AP1581" s="20">
        <v>10536.31</v>
      </c>
      <c r="AQ1581" s="20">
        <v>2311.77</v>
      </c>
    </row>
    <row r="1582" ht="22.5" hidden="1" customHeight="1">
      <c r="AJ1582" s="20" t="s">
        <v>28</v>
      </c>
      <c r="AK1582" s="21">
        <v>1.0</v>
      </c>
      <c r="AL1582" s="20" t="s">
        <v>5</v>
      </c>
      <c r="AM1582" s="20" t="s">
        <v>37</v>
      </c>
      <c r="AN1582" s="21">
        <v>9092.0</v>
      </c>
      <c r="AO1582" s="21">
        <v>20.0</v>
      </c>
      <c r="AP1582" s="20">
        <v>10597.89</v>
      </c>
      <c r="AQ1582" s="20">
        <v>2336.51</v>
      </c>
    </row>
    <row r="1583" ht="22.5" hidden="1" customHeight="1">
      <c r="AJ1583" s="20" t="s">
        <v>28</v>
      </c>
      <c r="AK1583" s="21">
        <v>1.0</v>
      </c>
      <c r="AL1583" s="20" t="s">
        <v>4</v>
      </c>
      <c r="AM1583" s="20" t="s">
        <v>37</v>
      </c>
      <c r="AN1583" s="21">
        <v>1156.0</v>
      </c>
      <c r="AO1583" s="21">
        <v>10.0</v>
      </c>
      <c r="AP1583" s="20">
        <v>10536.31</v>
      </c>
      <c r="AQ1583" s="20">
        <v>2340.99</v>
      </c>
    </row>
    <row r="1584" ht="22.5" hidden="1" customHeight="1">
      <c r="AJ1584" s="20" t="s">
        <v>28</v>
      </c>
      <c r="AK1584" s="21">
        <v>1.0</v>
      </c>
      <c r="AL1584" s="20" t="s">
        <v>2</v>
      </c>
      <c r="AM1584" s="20" t="s">
        <v>37</v>
      </c>
      <c r="AN1584" s="21">
        <v>1924.0</v>
      </c>
      <c r="AO1584" s="21">
        <v>10.0</v>
      </c>
      <c r="AP1584" s="20">
        <v>10536.31</v>
      </c>
      <c r="AQ1584" s="20">
        <v>2342.43</v>
      </c>
    </row>
    <row r="1585" ht="22.5" hidden="1" customHeight="1">
      <c r="AJ1585" s="20" t="s">
        <v>28</v>
      </c>
      <c r="AK1585" s="21">
        <v>1.0</v>
      </c>
      <c r="AL1585" s="20" t="s">
        <v>2</v>
      </c>
      <c r="AM1585" s="20" t="s">
        <v>37</v>
      </c>
      <c r="AN1585" s="21">
        <v>4996.0</v>
      </c>
      <c r="AO1585" s="21">
        <v>10.0</v>
      </c>
      <c r="AP1585" s="20">
        <v>10536.31</v>
      </c>
      <c r="AQ1585" s="20">
        <v>2346.21</v>
      </c>
    </row>
    <row r="1586" ht="22.5" hidden="1" customHeight="1">
      <c r="AJ1586" s="20" t="s">
        <v>28</v>
      </c>
      <c r="AK1586" s="21">
        <v>1.0</v>
      </c>
      <c r="AL1586" s="20" t="s">
        <v>5</v>
      </c>
      <c r="AM1586" s="20" t="s">
        <v>37</v>
      </c>
      <c r="AN1586" s="21">
        <v>4996.0</v>
      </c>
      <c r="AO1586" s="21">
        <v>20.0</v>
      </c>
      <c r="AP1586" s="20">
        <v>10536.31</v>
      </c>
      <c r="AQ1586" s="20">
        <v>2354.69</v>
      </c>
    </row>
    <row r="1587" ht="22.5" hidden="1" customHeight="1">
      <c r="AJ1587" s="20" t="s">
        <v>28</v>
      </c>
      <c r="AK1587" s="21">
        <v>1.0</v>
      </c>
      <c r="AL1587" s="20" t="s">
        <v>4</v>
      </c>
      <c r="AM1587" s="20" t="s">
        <v>37</v>
      </c>
      <c r="AN1587" s="21">
        <v>1412.0</v>
      </c>
      <c r="AO1587" s="21">
        <v>10.0</v>
      </c>
      <c r="AP1587" s="20">
        <v>10646.5</v>
      </c>
      <c r="AQ1587" s="20">
        <v>2356.39</v>
      </c>
    </row>
    <row r="1588" ht="22.5" hidden="1" customHeight="1">
      <c r="AJ1588" s="20" t="s">
        <v>28</v>
      </c>
      <c r="AK1588" s="21">
        <v>1.0</v>
      </c>
      <c r="AL1588" s="20" t="s">
        <v>4</v>
      </c>
      <c r="AM1588" s="20" t="s">
        <v>37</v>
      </c>
      <c r="AN1588" s="21">
        <v>2948.0</v>
      </c>
      <c r="AO1588" s="21">
        <v>10.0</v>
      </c>
      <c r="AP1588" s="20">
        <v>10345.02</v>
      </c>
      <c r="AQ1588" s="20">
        <v>2377.51</v>
      </c>
    </row>
    <row r="1589" ht="22.5" hidden="1" customHeight="1">
      <c r="AJ1589" s="20" t="s">
        <v>28</v>
      </c>
      <c r="AK1589" s="21">
        <v>1.0</v>
      </c>
      <c r="AL1589" s="20" t="s">
        <v>5</v>
      </c>
      <c r="AM1589" s="20" t="s">
        <v>37</v>
      </c>
      <c r="AN1589" s="21">
        <v>1924.0</v>
      </c>
      <c r="AO1589" s="21">
        <v>20.0</v>
      </c>
      <c r="AP1589" s="20">
        <v>10536.31</v>
      </c>
      <c r="AQ1589" s="20">
        <v>2379.07</v>
      </c>
    </row>
    <row r="1590" ht="22.5" hidden="1" customHeight="1">
      <c r="AJ1590" s="20" t="s">
        <v>28</v>
      </c>
      <c r="AK1590" s="21">
        <v>1.0</v>
      </c>
      <c r="AL1590" s="20" t="s">
        <v>5</v>
      </c>
      <c r="AM1590" s="20" t="s">
        <v>37</v>
      </c>
      <c r="AN1590" s="21">
        <v>66436.0</v>
      </c>
      <c r="AO1590" s="21">
        <v>20.0</v>
      </c>
      <c r="AP1590" s="20">
        <v>10351.79</v>
      </c>
      <c r="AQ1590" s="20">
        <v>2387.02</v>
      </c>
    </row>
    <row r="1591" ht="22.5" hidden="1" customHeight="1">
      <c r="AJ1591" s="20" t="s">
        <v>28</v>
      </c>
      <c r="AK1591" s="21">
        <v>1.0</v>
      </c>
      <c r="AL1591" s="20" t="s">
        <v>2</v>
      </c>
      <c r="AM1591" s="20" t="s">
        <v>37</v>
      </c>
      <c r="AN1591" s="21">
        <v>1156.0</v>
      </c>
      <c r="AO1591" s="21">
        <v>10.0</v>
      </c>
      <c r="AP1591" s="20">
        <v>10536.31</v>
      </c>
      <c r="AQ1591" s="20">
        <v>2391.0</v>
      </c>
    </row>
    <row r="1592" ht="22.5" hidden="1" customHeight="1">
      <c r="AJ1592" s="20" t="s">
        <v>28</v>
      </c>
      <c r="AK1592" s="21">
        <v>1.0</v>
      </c>
      <c r="AL1592" s="20" t="s">
        <v>5</v>
      </c>
      <c r="AM1592" s="20" t="s">
        <v>37</v>
      </c>
      <c r="AN1592" s="21">
        <v>131972.0</v>
      </c>
      <c r="AO1592" s="21">
        <v>20.0</v>
      </c>
      <c r="AP1592" s="20">
        <v>10536.31</v>
      </c>
      <c r="AQ1592" s="20">
        <v>2393.38</v>
      </c>
    </row>
    <row r="1593" ht="22.5" hidden="1" customHeight="1">
      <c r="AJ1593" s="20" t="s">
        <v>28</v>
      </c>
      <c r="AK1593" s="21">
        <v>1.0</v>
      </c>
      <c r="AL1593" s="20" t="s">
        <v>4</v>
      </c>
      <c r="AM1593" s="20" t="s">
        <v>37</v>
      </c>
      <c r="AN1593" s="21">
        <v>17284.0</v>
      </c>
      <c r="AO1593" s="21">
        <v>10.0</v>
      </c>
      <c r="AP1593" s="20">
        <v>10386.01</v>
      </c>
      <c r="AQ1593" s="20">
        <v>2412.94</v>
      </c>
    </row>
    <row r="1594" ht="22.5" hidden="1" customHeight="1">
      <c r="AJ1594" s="20" t="s">
        <v>28</v>
      </c>
      <c r="AK1594" s="21">
        <v>1.0</v>
      </c>
      <c r="AL1594" s="20" t="s">
        <v>2</v>
      </c>
      <c r="AM1594" s="20" t="s">
        <v>37</v>
      </c>
      <c r="AN1594" s="21">
        <v>2948.0</v>
      </c>
      <c r="AO1594" s="21">
        <v>10.0</v>
      </c>
      <c r="AP1594" s="20">
        <v>10345.02</v>
      </c>
      <c r="AQ1594" s="20">
        <v>2415.31</v>
      </c>
    </row>
    <row r="1595" ht="22.5" hidden="1" customHeight="1">
      <c r="AJ1595" s="20" t="s">
        <v>28</v>
      </c>
      <c r="AK1595" s="21">
        <v>1.0</v>
      </c>
      <c r="AL1595" s="20" t="s">
        <v>3</v>
      </c>
      <c r="AM1595" s="20" t="s">
        <v>37</v>
      </c>
      <c r="AN1595" s="21">
        <v>4996.0</v>
      </c>
      <c r="AO1595" s="21">
        <v>20.0</v>
      </c>
      <c r="AP1595" s="20">
        <v>10536.31</v>
      </c>
      <c r="AQ1595" s="20">
        <v>2432.92</v>
      </c>
    </row>
    <row r="1596" ht="22.5" hidden="1" customHeight="1">
      <c r="AJ1596" s="20" t="s">
        <v>28</v>
      </c>
      <c r="AK1596" s="21">
        <v>1.0</v>
      </c>
      <c r="AL1596" s="20" t="s">
        <v>2</v>
      </c>
      <c r="AM1596" s="20" t="s">
        <v>37</v>
      </c>
      <c r="AN1596" s="21">
        <v>1412.0</v>
      </c>
      <c r="AO1596" s="21">
        <v>10.0</v>
      </c>
      <c r="AP1596" s="20">
        <v>10646.5</v>
      </c>
      <c r="AQ1596" s="20">
        <v>2443.47</v>
      </c>
    </row>
    <row r="1597" ht="22.5" hidden="1" customHeight="1">
      <c r="AJ1597" s="20" t="s">
        <v>28</v>
      </c>
      <c r="AK1597" s="21">
        <v>1.0</v>
      </c>
      <c r="AL1597" s="20" t="s">
        <v>5</v>
      </c>
      <c r="AM1597" s="20" t="s">
        <v>37</v>
      </c>
      <c r="AN1597" s="21">
        <v>33668.0</v>
      </c>
      <c r="AO1597" s="21">
        <v>20.0</v>
      </c>
      <c r="AP1597" s="20">
        <v>10386.01</v>
      </c>
      <c r="AQ1597" s="20">
        <v>2451.86</v>
      </c>
    </row>
    <row r="1598" ht="22.5" hidden="1" customHeight="1">
      <c r="AJ1598" s="20" t="s">
        <v>28</v>
      </c>
      <c r="AK1598" s="21">
        <v>1.0</v>
      </c>
      <c r="AL1598" s="20" t="s">
        <v>5</v>
      </c>
      <c r="AM1598" s="20" t="s">
        <v>37</v>
      </c>
      <c r="AN1598" s="21">
        <v>17284.0</v>
      </c>
      <c r="AO1598" s="21">
        <v>20.0</v>
      </c>
      <c r="AP1598" s="20">
        <v>10386.01</v>
      </c>
      <c r="AQ1598" s="20">
        <v>2462.89</v>
      </c>
    </row>
    <row r="1599" ht="22.5" hidden="1" customHeight="1">
      <c r="AJ1599" s="20" t="s">
        <v>28</v>
      </c>
      <c r="AK1599" s="21">
        <v>1.0</v>
      </c>
      <c r="AL1599" s="20" t="s">
        <v>4</v>
      </c>
      <c r="AM1599" s="20" t="s">
        <v>37</v>
      </c>
      <c r="AN1599" s="21">
        <v>33668.0</v>
      </c>
      <c r="AO1599" s="21">
        <v>10.0</v>
      </c>
      <c r="AP1599" s="20">
        <v>10386.01</v>
      </c>
      <c r="AQ1599" s="20">
        <v>2468.37</v>
      </c>
    </row>
    <row r="1600" ht="22.5" hidden="1" customHeight="1">
      <c r="AJ1600" s="20" t="s">
        <v>28</v>
      </c>
      <c r="AK1600" s="21">
        <v>1.0</v>
      </c>
      <c r="AL1600" s="20" t="s">
        <v>3</v>
      </c>
      <c r="AM1600" s="20" t="s">
        <v>37</v>
      </c>
      <c r="AN1600" s="21">
        <v>1156.0</v>
      </c>
      <c r="AO1600" s="21">
        <v>20.0</v>
      </c>
      <c r="AP1600" s="20">
        <v>10536.31</v>
      </c>
      <c r="AQ1600" s="20">
        <v>2470.02</v>
      </c>
    </row>
    <row r="1601" ht="22.5" hidden="1" customHeight="1">
      <c r="AJ1601" s="20" t="s">
        <v>28</v>
      </c>
      <c r="AK1601" s="21">
        <v>1.0</v>
      </c>
      <c r="AL1601" s="20" t="s">
        <v>5</v>
      </c>
      <c r="AM1601" s="20" t="s">
        <v>37</v>
      </c>
      <c r="AN1601" s="21">
        <v>2948.0</v>
      </c>
      <c r="AO1601" s="21">
        <v>20.0</v>
      </c>
      <c r="AP1601" s="20">
        <v>10345.02</v>
      </c>
      <c r="AQ1601" s="20">
        <v>2479.68</v>
      </c>
    </row>
    <row r="1602" ht="22.5" hidden="1" customHeight="1">
      <c r="AJ1602" s="20" t="s">
        <v>28</v>
      </c>
      <c r="AK1602" s="21">
        <v>1.0</v>
      </c>
      <c r="AL1602" s="20" t="s">
        <v>3</v>
      </c>
      <c r="AM1602" s="20" t="s">
        <v>37</v>
      </c>
      <c r="AN1602" s="21">
        <v>1924.0</v>
      </c>
      <c r="AO1602" s="21">
        <v>20.0</v>
      </c>
      <c r="AP1602" s="20">
        <v>10536.31</v>
      </c>
      <c r="AQ1602" s="20">
        <v>2481.9</v>
      </c>
    </row>
    <row r="1603" ht="22.5" hidden="1" customHeight="1">
      <c r="AJ1603" s="20" t="s">
        <v>28</v>
      </c>
      <c r="AK1603" s="21">
        <v>1.0</v>
      </c>
      <c r="AL1603" s="20" t="s">
        <v>3</v>
      </c>
      <c r="AM1603" s="20" t="s">
        <v>37</v>
      </c>
      <c r="AN1603" s="21">
        <v>1412.0</v>
      </c>
      <c r="AO1603" s="21">
        <v>20.0</v>
      </c>
      <c r="AP1603" s="20">
        <v>10646.5</v>
      </c>
      <c r="AQ1603" s="20">
        <v>2510.93</v>
      </c>
    </row>
    <row r="1604" ht="22.5" hidden="1" customHeight="1">
      <c r="AJ1604" s="20" t="s">
        <v>28</v>
      </c>
      <c r="AK1604" s="21">
        <v>1.0</v>
      </c>
      <c r="AL1604" s="20" t="s">
        <v>4</v>
      </c>
      <c r="AM1604" s="20" t="s">
        <v>37</v>
      </c>
      <c r="AN1604" s="21">
        <v>66436.0</v>
      </c>
      <c r="AO1604" s="21">
        <v>10.0</v>
      </c>
      <c r="AP1604" s="20">
        <v>10351.79</v>
      </c>
      <c r="AQ1604" s="20">
        <v>2517.85</v>
      </c>
    </row>
    <row r="1605" ht="22.5" hidden="1" customHeight="1">
      <c r="AJ1605" s="20" t="s">
        <v>28</v>
      </c>
      <c r="AK1605" s="21">
        <v>1.0</v>
      </c>
      <c r="AL1605" s="20" t="s">
        <v>3</v>
      </c>
      <c r="AM1605" s="20" t="s">
        <v>37</v>
      </c>
      <c r="AN1605" s="21">
        <v>2948.0</v>
      </c>
      <c r="AO1605" s="21">
        <v>20.0</v>
      </c>
      <c r="AP1605" s="20">
        <v>10345.02</v>
      </c>
      <c r="AQ1605" s="20">
        <v>2523.86</v>
      </c>
    </row>
    <row r="1606" ht="22.5" hidden="1" customHeight="1">
      <c r="AJ1606" s="20" t="s">
        <v>28</v>
      </c>
      <c r="AK1606" s="21">
        <v>1.0</v>
      </c>
      <c r="AL1606" s="20" t="s">
        <v>3</v>
      </c>
      <c r="AM1606" s="20" t="s">
        <v>39</v>
      </c>
      <c r="AN1606" s="21">
        <v>1924.0</v>
      </c>
      <c r="AO1606" s="21">
        <v>20.0</v>
      </c>
      <c r="AP1606" s="20">
        <v>22750.42</v>
      </c>
      <c r="AQ1606" s="20">
        <v>10611.33</v>
      </c>
    </row>
    <row r="1607" ht="22.5" hidden="1" customHeight="1">
      <c r="AJ1607" s="20" t="s">
        <v>28</v>
      </c>
      <c r="AK1607" s="21">
        <v>1.0</v>
      </c>
      <c r="AL1607" s="20" t="s">
        <v>4</v>
      </c>
      <c r="AM1607" s="20" t="s">
        <v>39</v>
      </c>
      <c r="AN1607" s="21">
        <v>33668.0</v>
      </c>
      <c r="AO1607" s="21">
        <v>10.0</v>
      </c>
      <c r="AP1607" s="20">
        <v>22842.51</v>
      </c>
      <c r="AQ1607" s="20">
        <v>11671.02</v>
      </c>
    </row>
    <row r="1608" ht="22.5" hidden="1" customHeight="1">
      <c r="AJ1608" s="20" t="s">
        <v>28</v>
      </c>
      <c r="AK1608" s="21">
        <v>1.0</v>
      </c>
      <c r="AL1608" s="20" t="s">
        <v>3</v>
      </c>
      <c r="AM1608" s="20" t="s">
        <v>39</v>
      </c>
      <c r="AN1608" s="21">
        <v>4996.0</v>
      </c>
      <c r="AO1608" s="21">
        <v>20.0</v>
      </c>
      <c r="AP1608" s="20">
        <v>22633.44</v>
      </c>
      <c r="AQ1608" s="20">
        <v>11692.37</v>
      </c>
    </row>
    <row r="1609" ht="22.5" hidden="1" customHeight="1">
      <c r="AJ1609" s="20" t="s">
        <v>28</v>
      </c>
      <c r="AK1609" s="21">
        <v>1.0</v>
      </c>
      <c r="AL1609" s="20" t="s">
        <v>4</v>
      </c>
      <c r="AM1609" s="20" t="s">
        <v>38</v>
      </c>
      <c r="AN1609" s="21">
        <v>4996.0</v>
      </c>
      <c r="AO1609" s="21">
        <v>10.0</v>
      </c>
      <c r="AP1609" s="20">
        <v>27193.32</v>
      </c>
      <c r="AQ1609" s="20">
        <v>13176.44</v>
      </c>
    </row>
    <row r="1610" ht="22.5" hidden="1" customHeight="1">
      <c r="AJ1610" s="20" t="s">
        <v>28</v>
      </c>
      <c r="AK1610" s="21">
        <v>1.0</v>
      </c>
      <c r="AL1610" s="20" t="s">
        <v>4</v>
      </c>
      <c r="AM1610" s="20" t="s">
        <v>38</v>
      </c>
      <c r="AN1610" s="21">
        <v>2948.0</v>
      </c>
      <c r="AO1610" s="21">
        <v>10.0</v>
      </c>
      <c r="AP1610" s="20">
        <v>26131.36</v>
      </c>
      <c r="AQ1610" s="20">
        <v>13195.41</v>
      </c>
    </row>
    <row r="1611" ht="22.5" hidden="1" customHeight="1">
      <c r="AJ1611" s="20" t="s">
        <v>28</v>
      </c>
      <c r="AK1611" s="21">
        <v>1.0</v>
      </c>
      <c r="AL1611" s="20" t="s">
        <v>4</v>
      </c>
      <c r="AM1611" s="20" t="s">
        <v>38</v>
      </c>
      <c r="AN1611" s="21">
        <v>17284.0</v>
      </c>
      <c r="AO1611" s="21">
        <v>10.0</v>
      </c>
      <c r="AP1611" s="20">
        <v>25843.38</v>
      </c>
      <c r="AQ1611" s="20">
        <v>13274.61</v>
      </c>
    </row>
    <row r="1612" ht="22.5" hidden="1" customHeight="1">
      <c r="AJ1612" s="20" t="s">
        <v>28</v>
      </c>
      <c r="AK1612" s="21">
        <v>1.0</v>
      </c>
      <c r="AL1612" s="20" t="s">
        <v>4</v>
      </c>
      <c r="AM1612" s="20" t="s">
        <v>38</v>
      </c>
      <c r="AN1612" s="21">
        <v>66436.0</v>
      </c>
      <c r="AO1612" s="21">
        <v>10.0</v>
      </c>
      <c r="AP1612" s="20">
        <v>27179.59</v>
      </c>
      <c r="AQ1612" s="20">
        <v>13282.79</v>
      </c>
    </row>
    <row r="1613" ht="22.5" hidden="1" customHeight="1">
      <c r="AJ1613" s="20" t="s">
        <v>28</v>
      </c>
      <c r="AK1613" s="21">
        <v>1.0</v>
      </c>
      <c r="AL1613" s="20" t="s">
        <v>3</v>
      </c>
      <c r="AM1613" s="20" t="s">
        <v>38</v>
      </c>
      <c r="AN1613" s="21">
        <v>4996.0</v>
      </c>
      <c r="AO1613" s="21">
        <v>20.0</v>
      </c>
      <c r="AP1613" s="20">
        <v>27193.32</v>
      </c>
      <c r="AQ1613" s="20">
        <v>13286.51</v>
      </c>
    </row>
    <row r="1614" ht="22.5" hidden="1" customHeight="1">
      <c r="AJ1614" s="20" t="s">
        <v>28</v>
      </c>
      <c r="AK1614" s="21">
        <v>1.0</v>
      </c>
      <c r="AL1614" s="20" t="s">
        <v>4</v>
      </c>
      <c r="AM1614" s="20" t="s">
        <v>38</v>
      </c>
      <c r="AN1614" s="21">
        <v>9092.0</v>
      </c>
      <c r="AO1614" s="21">
        <v>10.0</v>
      </c>
      <c r="AP1614" s="20">
        <v>26027.85</v>
      </c>
      <c r="AQ1614" s="20">
        <v>13312.83</v>
      </c>
    </row>
    <row r="1615" ht="22.5" hidden="1" customHeight="1">
      <c r="AJ1615" s="20" t="s">
        <v>28</v>
      </c>
      <c r="AK1615" s="21">
        <v>1.0</v>
      </c>
      <c r="AL1615" s="20" t="s">
        <v>4</v>
      </c>
      <c r="AM1615" s="20" t="s">
        <v>38</v>
      </c>
      <c r="AN1615" s="21">
        <v>131972.0</v>
      </c>
      <c r="AO1615" s="21">
        <v>10.0</v>
      </c>
      <c r="AP1615" s="20">
        <v>27007.55</v>
      </c>
      <c r="AQ1615" s="20">
        <v>13330.28</v>
      </c>
    </row>
    <row r="1616" ht="22.5" hidden="1" customHeight="1">
      <c r="AJ1616" s="20" t="s">
        <v>28</v>
      </c>
      <c r="AK1616" s="21">
        <v>1.0</v>
      </c>
      <c r="AL1616" s="20" t="s">
        <v>4</v>
      </c>
      <c r="AM1616" s="20" t="s">
        <v>38</v>
      </c>
      <c r="AN1616" s="21">
        <v>33668.0</v>
      </c>
      <c r="AO1616" s="21">
        <v>10.0</v>
      </c>
      <c r="AP1616" s="20">
        <v>27007.55</v>
      </c>
      <c r="AQ1616" s="20">
        <v>13334.92</v>
      </c>
    </row>
    <row r="1617" ht="22.5" hidden="1" customHeight="1">
      <c r="AJ1617" s="20" t="s">
        <v>28</v>
      </c>
      <c r="AK1617" s="21">
        <v>1.0</v>
      </c>
      <c r="AL1617" s="20" t="s">
        <v>3</v>
      </c>
      <c r="AM1617" s="20" t="s">
        <v>38</v>
      </c>
      <c r="AN1617" s="21">
        <v>2948.0</v>
      </c>
      <c r="AO1617" s="21">
        <v>20.0</v>
      </c>
      <c r="AP1617" s="20">
        <v>26131.36</v>
      </c>
      <c r="AQ1617" s="20">
        <v>13346.79</v>
      </c>
    </row>
    <row r="1618" ht="22.5" hidden="1" customHeight="1">
      <c r="AJ1618" s="20" t="s">
        <v>28</v>
      </c>
      <c r="AK1618" s="21">
        <v>1.0</v>
      </c>
      <c r="AL1618" s="20" t="s">
        <v>4</v>
      </c>
      <c r="AM1618" s="20" t="s">
        <v>38</v>
      </c>
      <c r="AN1618" s="21">
        <v>1156.0</v>
      </c>
      <c r="AO1618" s="21">
        <v>10.0</v>
      </c>
      <c r="AP1618" s="20">
        <v>27122.25</v>
      </c>
      <c r="AQ1618" s="20">
        <v>13368.99</v>
      </c>
    </row>
    <row r="1619" ht="22.5" hidden="1" customHeight="1">
      <c r="AJ1619" s="20" t="s">
        <v>28</v>
      </c>
      <c r="AK1619" s="21">
        <v>1.0</v>
      </c>
      <c r="AL1619" s="20" t="s">
        <v>4</v>
      </c>
      <c r="AM1619" s="20" t="s">
        <v>38</v>
      </c>
      <c r="AN1619" s="21">
        <v>1924.0</v>
      </c>
      <c r="AO1619" s="21">
        <v>10.0</v>
      </c>
      <c r="AP1619" s="20">
        <v>26256.92</v>
      </c>
      <c r="AQ1619" s="20">
        <v>13395.83</v>
      </c>
    </row>
    <row r="1620" ht="22.5" hidden="1" customHeight="1">
      <c r="AJ1620" s="20" t="s">
        <v>28</v>
      </c>
      <c r="AK1620" s="21">
        <v>1.0</v>
      </c>
      <c r="AL1620" s="20" t="s">
        <v>5</v>
      </c>
      <c r="AM1620" s="20" t="s">
        <v>38</v>
      </c>
      <c r="AN1620" s="21">
        <v>2948.0</v>
      </c>
      <c r="AO1620" s="21">
        <v>20.0</v>
      </c>
      <c r="AP1620" s="20">
        <v>26131.36</v>
      </c>
      <c r="AQ1620" s="20">
        <v>13418.46</v>
      </c>
    </row>
    <row r="1621" ht="22.5" hidden="1" customHeight="1">
      <c r="AJ1621" s="20" t="s">
        <v>28</v>
      </c>
      <c r="AK1621" s="21">
        <v>1.0</v>
      </c>
      <c r="AL1621" s="20" t="s">
        <v>5</v>
      </c>
      <c r="AM1621" s="20" t="s">
        <v>38</v>
      </c>
      <c r="AN1621" s="21">
        <v>4996.0</v>
      </c>
      <c r="AO1621" s="21">
        <v>20.0</v>
      </c>
      <c r="AP1621" s="20">
        <v>27193.32</v>
      </c>
      <c r="AQ1621" s="20">
        <v>13422.54</v>
      </c>
    </row>
    <row r="1622" ht="22.5" hidden="1" customHeight="1">
      <c r="AJ1622" s="20" t="s">
        <v>28</v>
      </c>
      <c r="AK1622" s="21">
        <v>1.0</v>
      </c>
      <c r="AL1622" s="20" t="s">
        <v>5</v>
      </c>
      <c r="AM1622" s="20" t="s">
        <v>38</v>
      </c>
      <c r="AN1622" s="21">
        <v>33668.0</v>
      </c>
      <c r="AO1622" s="21">
        <v>20.0</v>
      </c>
      <c r="AP1622" s="20">
        <v>27007.55</v>
      </c>
      <c r="AQ1622" s="20">
        <v>13426.88</v>
      </c>
    </row>
    <row r="1623" ht="22.5" hidden="1" customHeight="1">
      <c r="AJ1623" s="20" t="s">
        <v>28</v>
      </c>
      <c r="AK1623" s="21">
        <v>1.0</v>
      </c>
      <c r="AL1623" s="20" t="s">
        <v>5</v>
      </c>
      <c r="AM1623" s="20" t="s">
        <v>38</v>
      </c>
      <c r="AN1623" s="21">
        <v>66436.0</v>
      </c>
      <c r="AO1623" s="21">
        <v>20.0</v>
      </c>
      <c r="AP1623" s="20">
        <v>27179.59</v>
      </c>
      <c r="AQ1623" s="20">
        <v>13452.91</v>
      </c>
    </row>
    <row r="1624" ht="22.5" hidden="1" customHeight="1">
      <c r="AJ1624" s="20" t="s">
        <v>28</v>
      </c>
      <c r="AK1624" s="21">
        <v>1.0</v>
      </c>
      <c r="AL1624" s="20" t="s">
        <v>4</v>
      </c>
      <c r="AM1624" s="20" t="s">
        <v>38</v>
      </c>
      <c r="AN1624" s="21">
        <v>1412.0</v>
      </c>
      <c r="AO1624" s="21">
        <v>10.0</v>
      </c>
      <c r="AP1624" s="20">
        <v>25843.38</v>
      </c>
      <c r="AQ1624" s="20">
        <v>13457.9</v>
      </c>
    </row>
    <row r="1625" ht="22.5" hidden="1" customHeight="1">
      <c r="AJ1625" s="20" t="s">
        <v>28</v>
      </c>
      <c r="AK1625" s="21">
        <v>1.0</v>
      </c>
      <c r="AL1625" s="20" t="s">
        <v>5</v>
      </c>
      <c r="AM1625" s="20" t="s">
        <v>38</v>
      </c>
      <c r="AN1625" s="21">
        <v>9092.0</v>
      </c>
      <c r="AO1625" s="21">
        <v>20.0</v>
      </c>
      <c r="AP1625" s="20">
        <v>26027.85</v>
      </c>
      <c r="AQ1625" s="20">
        <v>13464.7</v>
      </c>
    </row>
    <row r="1626" ht="22.5" hidden="1" customHeight="1">
      <c r="AJ1626" s="20" t="s">
        <v>28</v>
      </c>
      <c r="AK1626" s="21">
        <v>1.0</v>
      </c>
      <c r="AL1626" s="20" t="s">
        <v>5</v>
      </c>
      <c r="AM1626" s="20" t="s">
        <v>38</v>
      </c>
      <c r="AN1626" s="21">
        <v>17284.0</v>
      </c>
      <c r="AO1626" s="21">
        <v>20.0</v>
      </c>
      <c r="AP1626" s="20">
        <v>25843.38</v>
      </c>
      <c r="AQ1626" s="20">
        <v>13476.45</v>
      </c>
    </row>
    <row r="1627" ht="22.5" hidden="1" customHeight="1">
      <c r="AJ1627" s="20" t="s">
        <v>28</v>
      </c>
      <c r="AK1627" s="21">
        <v>1.0</v>
      </c>
      <c r="AL1627" s="20" t="s">
        <v>3</v>
      </c>
      <c r="AM1627" s="20" t="s">
        <v>38</v>
      </c>
      <c r="AN1627" s="21">
        <v>1924.0</v>
      </c>
      <c r="AO1627" s="21">
        <v>20.0</v>
      </c>
      <c r="AP1627" s="20">
        <v>26256.92</v>
      </c>
      <c r="AQ1627" s="20">
        <v>13485.42</v>
      </c>
    </row>
    <row r="1628" ht="22.5" hidden="1" customHeight="1">
      <c r="AJ1628" s="20" t="s">
        <v>28</v>
      </c>
      <c r="AK1628" s="21">
        <v>1.0</v>
      </c>
      <c r="AL1628" s="20" t="s">
        <v>3</v>
      </c>
      <c r="AM1628" s="20" t="s">
        <v>38</v>
      </c>
      <c r="AN1628" s="21">
        <v>1156.0</v>
      </c>
      <c r="AO1628" s="21">
        <v>20.0</v>
      </c>
      <c r="AP1628" s="20">
        <v>27122.25</v>
      </c>
      <c r="AQ1628" s="20">
        <v>13510.34</v>
      </c>
    </row>
    <row r="1629" ht="22.5" hidden="1" customHeight="1">
      <c r="AJ1629" s="20" t="s">
        <v>28</v>
      </c>
      <c r="AK1629" s="21">
        <v>1.0</v>
      </c>
      <c r="AL1629" s="20" t="s">
        <v>5</v>
      </c>
      <c r="AM1629" s="20" t="s">
        <v>38</v>
      </c>
      <c r="AN1629" s="21">
        <v>131972.0</v>
      </c>
      <c r="AO1629" s="21">
        <v>20.0</v>
      </c>
      <c r="AP1629" s="20">
        <v>27007.55</v>
      </c>
      <c r="AQ1629" s="20">
        <v>13520.67</v>
      </c>
    </row>
    <row r="1630" ht="22.5" hidden="1" customHeight="1">
      <c r="AJ1630" s="20" t="s">
        <v>28</v>
      </c>
      <c r="AK1630" s="21">
        <v>1.0</v>
      </c>
      <c r="AL1630" s="20" t="s">
        <v>2</v>
      </c>
      <c r="AM1630" s="20" t="s">
        <v>38</v>
      </c>
      <c r="AN1630" s="21">
        <v>4996.0</v>
      </c>
      <c r="AO1630" s="21">
        <v>10.0</v>
      </c>
      <c r="AP1630" s="20">
        <v>27193.32</v>
      </c>
      <c r="AQ1630" s="20">
        <v>13532.24</v>
      </c>
    </row>
    <row r="1631" ht="22.5" hidden="1" customHeight="1">
      <c r="AJ1631" s="20" t="s">
        <v>28</v>
      </c>
      <c r="AK1631" s="21">
        <v>1.0</v>
      </c>
      <c r="AL1631" s="20" t="s">
        <v>5</v>
      </c>
      <c r="AM1631" s="20" t="s">
        <v>38</v>
      </c>
      <c r="AN1631" s="21">
        <v>1156.0</v>
      </c>
      <c r="AO1631" s="21">
        <v>20.0</v>
      </c>
      <c r="AP1631" s="20">
        <v>27122.25</v>
      </c>
      <c r="AQ1631" s="20">
        <v>13533.34</v>
      </c>
    </row>
    <row r="1632" ht="22.5" hidden="1" customHeight="1">
      <c r="AJ1632" s="20" t="s">
        <v>28</v>
      </c>
      <c r="AK1632" s="21">
        <v>1.0</v>
      </c>
      <c r="AL1632" s="20" t="s">
        <v>3</v>
      </c>
      <c r="AM1632" s="20" t="s">
        <v>38</v>
      </c>
      <c r="AN1632" s="21">
        <v>1412.0</v>
      </c>
      <c r="AO1632" s="21">
        <v>20.0</v>
      </c>
      <c r="AP1632" s="20">
        <v>25843.38</v>
      </c>
      <c r="AQ1632" s="20">
        <v>13540.22</v>
      </c>
    </row>
    <row r="1633" ht="22.5" hidden="1" customHeight="1">
      <c r="AJ1633" s="20" t="s">
        <v>28</v>
      </c>
      <c r="AK1633" s="21">
        <v>1.0</v>
      </c>
      <c r="AL1633" s="20" t="s">
        <v>5</v>
      </c>
      <c r="AM1633" s="20" t="s">
        <v>38</v>
      </c>
      <c r="AN1633" s="21">
        <v>1924.0</v>
      </c>
      <c r="AO1633" s="21">
        <v>20.0</v>
      </c>
      <c r="AP1633" s="20">
        <v>26256.92</v>
      </c>
      <c r="AQ1633" s="20">
        <v>13616.68</v>
      </c>
    </row>
    <row r="1634" ht="22.5" hidden="1" customHeight="1">
      <c r="AJ1634" s="20" t="s">
        <v>28</v>
      </c>
      <c r="AK1634" s="21">
        <v>1.0</v>
      </c>
      <c r="AL1634" s="20" t="s">
        <v>2</v>
      </c>
      <c r="AM1634" s="20" t="s">
        <v>38</v>
      </c>
      <c r="AN1634" s="21">
        <v>2948.0</v>
      </c>
      <c r="AO1634" s="21">
        <v>10.0</v>
      </c>
      <c r="AP1634" s="20">
        <v>26131.36</v>
      </c>
      <c r="AQ1634" s="20">
        <v>13622.94</v>
      </c>
    </row>
    <row r="1635" ht="22.5" hidden="1" customHeight="1">
      <c r="AJ1635" s="20" t="s">
        <v>28</v>
      </c>
      <c r="AK1635" s="21">
        <v>1.0</v>
      </c>
      <c r="AL1635" s="20" t="s">
        <v>5</v>
      </c>
      <c r="AM1635" s="20" t="s">
        <v>38</v>
      </c>
      <c r="AN1635" s="21">
        <v>1412.0</v>
      </c>
      <c r="AO1635" s="21">
        <v>20.0</v>
      </c>
      <c r="AP1635" s="20">
        <v>25843.38</v>
      </c>
      <c r="AQ1635" s="20">
        <v>13644.58</v>
      </c>
    </row>
    <row r="1636" ht="22.5" hidden="1" customHeight="1">
      <c r="AJ1636" s="20" t="s">
        <v>28</v>
      </c>
      <c r="AK1636" s="21">
        <v>1.0</v>
      </c>
      <c r="AL1636" s="20" t="s">
        <v>2</v>
      </c>
      <c r="AM1636" s="20" t="s">
        <v>38</v>
      </c>
      <c r="AN1636" s="21">
        <v>1156.0</v>
      </c>
      <c r="AO1636" s="21">
        <v>10.0</v>
      </c>
      <c r="AP1636" s="20">
        <v>27122.25</v>
      </c>
      <c r="AQ1636" s="20">
        <v>13647.93</v>
      </c>
    </row>
    <row r="1637" ht="22.5" hidden="1" customHeight="1">
      <c r="AJ1637" s="20" t="s">
        <v>28</v>
      </c>
      <c r="AK1637" s="21">
        <v>1.0</v>
      </c>
      <c r="AL1637" s="20" t="s">
        <v>2</v>
      </c>
      <c r="AM1637" s="20" t="s">
        <v>36</v>
      </c>
      <c r="AN1637" s="21">
        <v>2948.0</v>
      </c>
      <c r="AO1637" s="21">
        <v>10.0</v>
      </c>
      <c r="AP1637" s="20">
        <v>4690.0</v>
      </c>
      <c r="AQ1637" s="20">
        <v>49603.58</v>
      </c>
    </row>
    <row r="1638" ht="22.5" hidden="1" customHeight="1">
      <c r="AJ1638" s="20" t="s">
        <v>65</v>
      </c>
      <c r="AK1638" s="21">
        <v>2.0</v>
      </c>
      <c r="AL1638" s="20" t="s">
        <v>2</v>
      </c>
      <c r="AM1638" s="20" t="s">
        <v>49</v>
      </c>
      <c r="AN1638" s="21">
        <v>4996.0</v>
      </c>
      <c r="AO1638" s="21">
        <v>10.0</v>
      </c>
      <c r="AP1638" s="20">
        <v>194645.0</v>
      </c>
      <c r="AQ1638" s="20">
        <v>50530.98</v>
      </c>
    </row>
    <row r="1639" ht="22.5" hidden="1" customHeight="1">
      <c r="AJ1639" s="20" t="s">
        <v>65</v>
      </c>
      <c r="AK1639" s="21">
        <v>2.0</v>
      </c>
      <c r="AL1639" s="20" t="s">
        <v>2</v>
      </c>
      <c r="AM1639" s="20" t="s">
        <v>51</v>
      </c>
      <c r="AN1639" s="21">
        <v>1412.0</v>
      </c>
      <c r="AO1639" s="21">
        <v>10.0</v>
      </c>
      <c r="AP1639" s="20">
        <v>178397.0</v>
      </c>
      <c r="AQ1639" s="20">
        <v>50548.95</v>
      </c>
    </row>
    <row r="1640" ht="22.5" hidden="1" customHeight="1">
      <c r="AJ1640" s="20" t="s">
        <v>65</v>
      </c>
      <c r="AK1640" s="21">
        <v>2.0</v>
      </c>
      <c r="AL1640" s="20" t="s">
        <v>4</v>
      </c>
      <c r="AM1640" s="20" t="s">
        <v>48</v>
      </c>
      <c r="AN1640" s="21">
        <v>33668.0</v>
      </c>
      <c r="AO1640" s="21">
        <v>10.0</v>
      </c>
      <c r="AP1640" s="20">
        <v>190342.0</v>
      </c>
      <c r="AQ1640" s="20">
        <v>50552.28</v>
      </c>
    </row>
    <row r="1641" ht="22.5" hidden="1" customHeight="1">
      <c r="AJ1641" s="20" t="s">
        <v>65</v>
      </c>
      <c r="AK1641" s="21">
        <v>2.0</v>
      </c>
      <c r="AL1641" s="20" t="s">
        <v>2</v>
      </c>
      <c r="AM1641" s="20" t="s">
        <v>57</v>
      </c>
      <c r="AN1641" s="21">
        <v>1924.0</v>
      </c>
      <c r="AO1641" s="21">
        <v>10.0</v>
      </c>
      <c r="AP1641" s="20">
        <v>211461.0</v>
      </c>
      <c r="AQ1641" s="20">
        <v>50554.13</v>
      </c>
    </row>
    <row r="1642" ht="22.5" hidden="1" customHeight="1">
      <c r="AJ1642" s="20" t="s">
        <v>65</v>
      </c>
      <c r="AK1642" s="21">
        <v>2.0</v>
      </c>
      <c r="AL1642" s="20" t="s">
        <v>4</v>
      </c>
      <c r="AM1642" s="20" t="s">
        <v>51</v>
      </c>
      <c r="AN1642" s="21">
        <v>4996.0</v>
      </c>
      <c r="AO1642" s="21">
        <v>10.0</v>
      </c>
      <c r="AP1642" s="20">
        <v>178397.0</v>
      </c>
      <c r="AQ1642" s="20">
        <v>50560.17</v>
      </c>
    </row>
    <row r="1643" ht="22.5" hidden="1" customHeight="1">
      <c r="AJ1643" s="20" t="s">
        <v>65</v>
      </c>
      <c r="AK1643" s="21">
        <v>2.0</v>
      </c>
      <c r="AL1643" s="20" t="s">
        <v>4</v>
      </c>
      <c r="AM1643" s="20" t="s">
        <v>55</v>
      </c>
      <c r="AN1643" s="21">
        <v>1412.0</v>
      </c>
      <c r="AO1643" s="21">
        <v>10.0</v>
      </c>
      <c r="AP1643" s="20">
        <v>189005.0</v>
      </c>
      <c r="AQ1643" s="20">
        <v>50575.3</v>
      </c>
    </row>
    <row r="1644" ht="22.5" hidden="1" customHeight="1">
      <c r="AJ1644" s="20" t="s">
        <v>65</v>
      </c>
      <c r="AK1644" s="21">
        <v>2.0</v>
      </c>
      <c r="AL1644" s="20" t="s">
        <v>4</v>
      </c>
      <c r="AM1644" s="20" t="s">
        <v>52</v>
      </c>
      <c r="AN1644" s="21">
        <v>33668.0</v>
      </c>
      <c r="AO1644" s="21">
        <v>10.0</v>
      </c>
      <c r="AP1644" s="20">
        <v>182076.0</v>
      </c>
      <c r="AQ1644" s="20">
        <v>50583.42</v>
      </c>
    </row>
    <row r="1645" ht="22.5" hidden="1" customHeight="1">
      <c r="AJ1645" s="20" t="s">
        <v>65</v>
      </c>
      <c r="AK1645" s="21">
        <v>2.0</v>
      </c>
      <c r="AL1645" s="20" t="s">
        <v>4</v>
      </c>
      <c r="AM1645" s="20" t="s">
        <v>57</v>
      </c>
      <c r="AN1645" s="21">
        <v>33668.0</v>
      </c>
      <c r="AO1645" s="21">
        <v>10.0</v>
      </c>
      <c r="AP1645" s="20">
        <v>211461.0</v>
      </c>
      <c r="AQ1645" s="20">
        <v>50583.88</v>
      </c>
    </row>
    <row r="1646" ht="22.5" hidden="1" customHeight="1">
      <c r="AJ1646" s="20" t="s">
        <v>65</v>
      </c>
      <c r="AK1646" s="21">
        <v>2.0</v>
      </c>
      <c r="AL1646" s="20" t="s">
        <v>3</v>
      </c>
      <c r="AM1646" s="20" t="s">
        <v>48</v>
      </c>
      <c r="AN1646" s="21">
        <v>4996.0</v>
      </c>
      <c r="AO1646" s="21">
        <v>20.0</v>
      </c>
      <c r="AP1646" s="20">
        <v>190342.0</v>
      </c>
      <c r="AQ1646" s="20">
        <v>50585.31</v>
      </c>
    </row>
    <row r="1647" ht="22.5" hidden="1" customHeight="1">
      <c r="AJ1647" s="20" t="s">
        <v>65</v>
      </c>
      <c r="AK1647" s="21">
        <v>2.0</v>
      </c>
      <c r="AL1647" s="20" t="s">
        <v>5</v>
      </c>
      <c r="AM1647" s="20" t="s">
        <v>56</v>
      </c>
      <c r="AN1647" s="21">
        <v>66436.0</v>
      </c>
      <c r="AO1647" s="21">
        <v>20.0</v>
      </c>
      <c r="AP1647" s="20">
        <v>194438.0</v>
      </c>
      <c r="AQ1647" s="20">
        <v>50590.31</v>
      </c>
    </row>
    <row r="1648" ht="22.5" hidden="1" customHeight="1">
      <c r="AJ1648" s="20" t="s">
        <v>65</v>
      </c>
      <c r="AK1648" s="21">
        <v>2.0</v>
      </c>
      <c r="AL1648" s="20" t="s">
        <v>3</v>
      </c>
      <c r="AM1648" s="20" t="s">
        <v>57</v>
      </c>
      <c r="AN1648" s="21">
        <v>1924.0</v>
      </c>
      <c r="AO1648" s="21">
        <v>20.0</v>
      </c>
      <c r="AP1648" s="20">
        <v>211461.0</v>
      </c>
      <c r="AQ1648" s="20">
        <v>50592.35</v>
      </c>
    </row>
    <row r="1649" ht="22.5" hidden="1" customHeight="1">
      <c r="AJ1649" s="20" t="s">
        <v>65</v>
      </c>
      <c r="AK1649" s="21">
        <v>2.0</v>
      </c>
      <c r="AL1649" s="20" t="s">
        <v>2</v>
      </c>
      <c r="AM1649" s="20" t="s">
        <v>46</v>
      </c>
      <c r="AN1649" s="21">
        <v>1156.0</v>
      </c>
      <c r="AO1649" s="21">
        <v>10.0</v>
      </c>
      <c r="AP1649" s="20">
        <v>177222.0</v>
      </c>
      <c r="AQ1649" s="20">
        <v>50607.61</v>
      </c>
    </row>
    <row r="1650" ht="22.5" hidden="1" customHeight="1">
      <c r="AJ1650" s="20" t="s">
        <v>65</v>
      </c>
      <c r="AK1650" s="21">
        <v>2.0</v>
      </c>
      <c r="AL1650" s="20" t="s">
        <v>3</v>
      </c>
      <c r="AM1650" s="20" t="s">
        <v>51</v>
      </c>
      <c r="AN1650" s="21">
        <v>1924.0</v>
      </c>
      <c r="AO1650" s="21">
        <v>20.0</v>
      </c>
      <c r="AP1650" s="20">
        <v>178397.0</v>
      </c>
      <c r="AQ1650" s="20">
        <v>50615.21</v>
      </c>
    </row>
    <row r="1651" ht="22.5" hidden="1" customHeight="1">
      <c r="AJ1651" s="20" t="s">
        <v>65</v>
      </c>
      <c r="AK1651" s="21">
        <v>2.0</v>
      </c>
      <c r="AL1651" s="20" t="s">
        <v>2</v>
      </c>
      <c r="AM1651" s="20" t="s">
        <v>54</v>
      </c>
      <c r="AN1651" s="21">
        <v>4996.0</v>
      </c>
      <c r="AO1651" s="21">
        <v>10.0</v>
      </c>
      <c r="AP1651" s="20">
        <v>179699.0</v>
      </c>
      <c r="AQ1651" s="20">
        <v>50624.42</v>
      </c>
    </row>
    <row r="1652" ht="22.5" hidden="1" customHeight="1">
      <c r="AJ1652" s="20" t="s">
        <v>65</v>
      </c>
      <c r="AK1652" s="21">
        <v>2.0</v>
      </c>
      <c r="AL1652" s="20" t="s">
        <v>5</v>
      </c>
      <c r="AM1652" s="20" t="s">
        <v>54</v>
      </c>
      <c r="AN1652" s="21">
        <v>2948.0</v>
      </c>
      <c r="AO1652" s="21">
        <v>20.0</v>
      </c>
      <c r="AP1652" s="20">
        <v>179699.0</v>
      </c>
      <c r="AQ1652" s="20">
        <v>50635.9</v>
      </c>
    </row>
    <row r="1653" ht="22.5" hidden="1" customHeight="1">
      <c r="AJ1653" s="20" t="s">
        <v>65</v>
      </c>
      <c r="AK1653" s="21">
        <v>2.0</v>
      </c>
      <c r="AL1653" s="20" t="s">
        <v>2</v>
      </c>
      <c r="AM1653" s="20" t="s">
        <v>53</v>
      </c>
      <c r="AN1653" s="21">
        <v>2948.0</v>
      </c>
      <c r="AO1653" s="21">
        <v>10.0</v>
      </c>
      <c r="AP1653" s="20">
        <v>160641.0</v>
      </c>
      <c r="AQ1653" s="20">
        <v>50645.05</v>
      </c>
    </row>
    <row r="1654" ht="22.5" hidden="1" customHeight="1">
      <c r="AJ1654" s="20" t="s">
        <v>65</v>
      </c>
      <c r="AK1654" s="21">
        <v>2.0</v>
      </c>
      <c r="AL1654" s="20" t="s">
        <v>5</v>
      </c>
      <c r="AM1654" s="20" t="s">
        <v>54</v>
      </c>
      <c r="AN1654" s="21">
        <v>131972.0</v>
      </c>
      <c r="AO1654" s="21">
        <v>20.0</v>
      </c>
      <c r="AP1654" s="20">
        <v>179699.0</v>
      </c>
      <c r="AQ1654" s="20">
        <v>50646.58</v>
      </c>
    </row>
    <row r="1655" ht="22.5" hidden="1" customHeight="1">
      <c r="AJ1655" s="20" t="s">
        <v>65</v>
      </c>
      <c r="AK1655" s="21">
        <v>3.0</v>
      </c>
      <c r="AL1655" s="20" t="s">
        <v>2</v>
      </c>
      <c r="AM1655" s="20" t="s">
        <v>56</v>
      </c>
      <c r="AN1655" s="21">
        <v>1412.0</v>
      </c>
      <c r="AO1655" s="21">
        <v>10.0</v>
      </c>
      <c r="AP1655" s="20">
        <v>115862.0</v>
      </c>
      <c r="AQ1655" s="20">
        <v>50709.85</v>
      </c>
    </row>
    <row r="1656" ht="22.5" hidden="1" customHeight="1">
      <c r="AJ1656" s="20" t="s">
        <v>65</v>
      </c>
      <c r="AK1656" s="21">
        <v>3.0</v>
      </c>
      <c r="AL1656" s="20" t="s">
        <v>4</v>
      </c>
      <c r="AM1656" s="20" t="s">
        <v>50</v>
      </c>
      <c r="AN1656" s="21">
        <v>9092.0</v>
      </c>
      <c r="AO1656" s="21">
        <v>10.0</v>
      </c>
      <c r="AP1656" s="20">
        <v>115738.0</v>
      </c>
      <c r="AQ1656" s="20">
        <v>50724.39</v>
      </c>
    </row>
    <row r="1657" ht="22.5" hidden="1" customHeight="1">
      <c r="AJ1657" s="20" t="s">
        <v>65</v>
      </c>
      <c r="AK1657" s="21">
        <v>3.0</v>
      </c>
      <c r="AL1657" s="20" t="s">
        <v>5</v>
      </c>
      <c r="AM1657" s="20" t="s">
        <v>50</v>
      </c>
      <c r="AN1657" s="21">
        <v>33668.0</v>
      </c>
      <c r="AO1657" s="21">
        <v>20.0</v>
      </c>
      <c r="AP1657" s="20">
        <v>115738.0</v>
      </c>
      <c r="AQ1657" s="20">
        <v>50739.52</v>
      </c>
    </row>
    <row r="1658" ht="22.5" hidden="1" customHeight="1">
      <c r="AJ1658" s="20" t="s">
        <v>65</v>
      </c>
      <c r="AK1658" s="21">
        <v>3.0</v>
      </c>
      <c r="AL1658" s="20" t="s">
        <v>3</v>
      </c>
      <c r="AM1658" s="20" t="s">
        <v>51</v>
      </c>
      <c r="AN1658" s="21">
        <v>4996.0</v>
      </c>
      <c r="AO1658" s="21">
        <v>20.0</v>
      </c>
      <c r="AP1658" s="20">
        <v>107179.0</v>
      </c>
      <c r="AQ1658" s="20">
        <v>50758.92</v>
      </c>
    </row>
    <row r="1659" ht="22.5" hidden="1" customHeight="1">
      <c r="AJ1659" s="20" t="s">
        <v>65</v>
      </c>
      <c r="AK1659" s="21">
        <v>4.0</v>
      </c>
      <c r="AL1659" s="20" t="s">
        <v>2</v>
      </c>
      <c r="AM1659" s="20" t="s">
        <v>49</v>
      </c>
      <c r="AN1659" s="21">
        <v>1156.0</v>
      </c>
      <c r="AO1659" s="21">
        <v>10.0</v>
      </c>
      <c r="AP1659" s="20">
        <v>79757.0</v>
      </c>
      <c r="AQ1659" s="20">
        <v>50769.84</v>
      </c>
    </row>
    <row r="1660" ht="22.5" hidden="1" customHeight="1">
      <c r="AJ1660" s="20" t="s">
        <v>65</v>
      </c>
      <c r="AK1660" s="21">
        <v>3.0</v>
      </c>
      <c r="AL1660" s="20" t="s">
        <v>2</v>
      </c>
      <c r="AM1660" s="20" t="s">
        <v>51</v>
      </c>
      <c r="AN1660" s="21">
        <v>1156.0</v>
      </c>
      <c r="AO1660" s="21">
        <v>10.0</v>
      </c>
      <c r="AP1660" s="20">
        <v>107179.0</v>
      </c>
      <c r="AQ1660" s="20">
        <v>50773.64</v>
      </c>
    </row>
    <row r="1661" ht="22.5" hidden="1" customHeight="1">
      <c r="AJ1661" s="20" t="s">
        <v>65</v>
      </c>
      <c r="AK1661" s="21">
        <v>3.0</v>
      </c>
      <c r="AL1661" s="20" t="s">
        <v>3</v>
      </c>
      <c r="AM1661" s="20" t="s">
        <v>49</v>
      </c>
      <c r="AN1661" s="21">
        <v>2948.0</v>
      </c>
      <c r="AO1661" s="21">
        <v>20.0</v>
      </c>
      <c r="AP1661" s="20">
        <v>117921.0</v>
      </c>
      <c r="AQ1661" s="20">
        <v>50776.24</v>
      </c>
    </row>
    <row r="1662" ht="22.5" hidden="1" customHeight="1">
      <c r="AJ1662" s="20" t="s">
        <v>65</v>
      </c>
      <c r="AK1662" s="21">
        <v>3.0</v>
      </c>
      <c r="AL1662" s="20" t="s">
        <v>5</v>
      </c>
      <c r="AM1662" s="20" t="s">
        <v>52</v>
      </c>
      <c r="AN1662" s="21">
        <v>2948.0</v>
      </c>
      <c r="AO1662" s="21">
        <v>20.0</v>
      </c>
      <c r="AP1662" s="20">
        <v>108829.0</v>
      </c>
      <c r="AQ1662" s="20">
        <v>50784.34</v>
      </c>
    </row>
    <row r="1663" ht="22.5" hidden="1" customHeight="1">
      <c r="AJ1663" s="20" t="s">
        <v>65</v>
      </c>
      <c r="AK1663" s="21">
        <v>3.0</v>
      </c>
      <c r="AL1663" s="20" t="s">
        <v>4</v>
      </c>
      <c r="AM1663" s="20" t="s">
        <v>56</v>
      </c>
      <c r="AN1663" s="21">
        <v>66436.0</v>
      </c>
      <c r="AO1663" s="21">
        <v>10.0</v>
      </c>
      <c r="AP1663" s="20">
        <v>115862.0</v>
      </c>
      <c r="AQ1663" s="20">
        <v>50785.07</v>
      </c>
    </row>
    <row r="1664" ht="22.5" hidden="1" customHeight="1">
      <c r="AJ1664" s="20" t="s">
        <v>65</v>
      </c>
      <c r="AK1664" s="21">
        <v>3.0</v>
      </c>
      <c r="AL1664" s="20" t="s">
        <v>3</v>
      </c>
      <c r="AM1664" s="20" t="s">
        <v>55</v>
      </c>
      <c r="AN1664" s="21">
        <v>4996.0</v>
      </c>
      <c r="AO1664" s="21">
        <v>20.0</v>
      </c>
      <c r="AP1664" s="20">
        <v>114430.0</v>
      </c>
      <c r="AQ1664" s="20">
        <v>50788.41</v>
      </c>
    </row>
    <row r="1665" ht="22.5" hidden="1" customHeight="1">
      <c r="AJ1665" s="20" t="s">
        <v>65</v>
      </c>
      <c r="AK1665" s="21">
        <v>3.0</v>
      </c>
      <c r="AL1665" s="20" t="s">
        <v>4</v>
      </c>
      <c r="AM1665" s="20" t="s">
        <v>48</v>
      </c>
      <c r="AN1665" s="21">
        <v>2948.0</v>
      </c>
      <c r="AO1665" s="21">
        <v>10.0</v>
      </c>
      <c r="AP1665" s="20">
        <v>113378.0</v>
      </c>
      <c r="AQ1665" s="20">
        <v>50798.61</v>
      </c>
    </row>
    <row r="1666" ht="22.5" hidden="1" customHeight="1">
      <c r="AJ1666" s="20" t="s">
        <v>65</v>
      </c>
      <c r="AK1666" s="21">
        <v>3.0</v>
      </c>
      <c r="AL1666" s="20" t="s">
        <v>4</v>
      </c>
      <c r="AM1666" s="20" t="s">
        <v>47</v>
      </c>
      <c r="AN1666" s="21">
        <v>2948.0</v>
      </c>
      <c r="AO1666" s="21">
        <v>10.0</v>
      </c>
      <c r="AP1666" s="20">
        <v>112885.0</v>
      </c>
      <c r="AQ1666" s="20">
        <v>50803.37</v>
      </c>
    </row>
    <row r="1667" ht="22.5" hidden="1" customHeight="1">
      <c r="AJ1667" s="20" t="s">
        <v>65</v>
      </c>
      <c r="AK1667" s="21">
        <v>3.0</v>
      </c>
      <c r="AL1667" s="20" t="s">
        <v>4</v>
      </c>
      <c r="AM1667" s="20" t="s">
        <v>47</v>
      </c>
      <c r="AN1667" s="21">
        <v>66436.0</v>
      </c>
      <c r="AO1667" s="21">
        <v>10.0</v>
      </c>
      <c r="AP1667" s="20">
        <v>112885.0</v>
      </c>
      <c r="AQ1667" s="20">
        <v>50810.9</v>
      </c>
    </row>
    <row r="1668" ht="22.5" hidden="1" customHeight="1">
      <c r="AJ1668" s="20" t="s">
        <v>65</v>
      </c>
      <c r="AK1668" s="21">
        <v>3.0</v>
      </c>
      <c r="AL1668" s="20" t="s">
        <v>5</v>
      </c>
      <c r="AM1668" s="20" t="s">
        <v>46</v>
      </c>
      <c r="AN1668" s="21">
        <v>1156.0</v>
      </c>
      <c r="AO1668" s="21">
        <v>20.0</v>
      </c>
      <c r="AP1668" s="20">
        <v>107607.0</v>
      </c>
      <c r="AQ1668" s="20">
        <v>50817.05</v>
      </c>
    </row>
    <row r="1669" ht="22.5" hidden="1" customHeight="1">
      <c r="AJ1669" s="20" t="s">
        <v>65</v>
      </c>
      <c r="AK1669" s="21">
        <v>3.0</v>
      </c>
      <c r="AL1669" s="20" t="s">
        <v>3</v>
      </c>
      <c r="AM1669" s="20" t="s">
        <v>52</v>
      </c>
      <c r="AN1669" s="21">
        <v>4996.0</v>
      </c>
      <c r="AO1669" s="21">
        <v>20.0</v>
      </c>
      <c r="AP1669" s="20">
        <v>108829.0</v>
      </c>
      <c r="AQ1669" s="20">
        <v>50840.69</v>
      </c>
    </row>
    <row r="1670" ht="22.5" hidden="1" customHeight="1">
      <c r="AJ1670" s="20" t="s">
        <v>65</v>
      </c>
      <c r="AK1670" s="21">
        <v>3.0</v>
      </c>
      <c r="AL1670" s="20" t="s">
        <v>5</v>
      </c>
      <c r="AM1670" s="20" t="s">
        <v>46</v>
      </c>
      <c r="AN1670" s="21">
        <v>9092.0</v>
      </c>
      <c r="AO1670" s="21">
        <v>20.0</v>
      </c>
      <c r="AP1670" s="20">
        <v>107607.0</v>
      </c>
      <c r="AQ1670" s="20">
        <v>50851.29</v>
      </c>
    </row>
    <row r="1671" ht="22.5" hidden="1" customHeight="1">
      <c r="AJ1671" s="20" t="s">
        <v>65</v>
      </c>
      <c r="AK1671" s="21">
        <v>3.0</v>
      </c>
      <c r="AL1671" s="20" t="s">
        <v>5</v>
      </c>
      <c r="AM1671" s="20" t="s">
        <v>52</v>
      </c>
      <c r="AN1671" s="21">
        <v>66436.0</v>
      </c>
      <c r="AO1671" s="21">
        <v>20.0</v>
      </c>
      <c r="AP1671" s="20">
        <v>108829.0</v>
      </c>
      <c r="AQ1671" s="20">
        <v>50852.39</v>
      </c>
    </row>
    <row r="1672" ht="22.5" hidden="1" customHeight="1">
      <c r="AJ1672" s="20" t="s">
        <v>65</v>
      </c>
      <c r="AK1672" s="21">
        <v>4.0</v>
      </c>
      <c r="AL1672" s="20" t="s">
        <v>5</v>
      </c>
      <c r="AM1672" s="20" t="s">
        <v>49</v>
      </c>
      <c r="AN1672" s="21">
        <v>131972.0</v>
      </c>
      <c r="AO1672" s="21">
        <v>20.0</v>
      </c>
      <c r="AP1672" s="20">
        <v>79757.0</v>
      </c>
      <c r="AQ1672" s="20">
        <v>50873.61</v>
      </c>
    </row>
    <row r="1673" ht="22.5" hidden="1" customHeight="1">
      <c r="AJ1673" s="20" t="s">
        <v>65</v>
      </c>
      <c r="AK1673" s="21">
        <v>4.0</v>
      </c>
      <c r="AL1673" s="20" t="s">
        <v>2</v>
      </c>
      <c r="AM1673" s="20" t="s">
        <v>47</v>
      </c>
      <c r="AN1673" s="21">
        <v>1412.0</v>
      </c>
      <c r="AO1673" s="21">
        <v>10.0</v>
      </c>
      <c r="AP1673" s="20">
        <v>76359.0</v>
      </c>
      <c r="AQ1673" s="20">
        <v>50884.95</v>
      </c>
    </row>
    <row r="1674" ht="22.5" hidden="1" customHeight="1">
      <c r="AJ1674" s="20" t="s">
        <v>65</v>
      </c>
      <c r="AK1674" s="21">
        <v>4.0</v>
      </c>
      <c r="AL1674" s="20" t="s">
        <v>5</v>
      </c>
      <c r="AM1674" s="20" t="s">
        <v>55</v>
      </c>
      <c r="AN1674" s="21">
        <v>66436.0</v>
      </c>
      <c r="AO1674" s="21">
        <v>20.0</v>
      </c>
      <c r="AP1674" s="20">
        <v>77883.0</v>
      </c>
      <c r="AQ1674" s="20">
        <v>50936.56</v>
      </c>
    </row>
    <row r="1675" ht="22.5" hidden="1" customHeight="1">
      <c r="AJ1675" s="20" t="s">
        <v>65</v>
      </c>
      <c r="AK1675" s="21">
        <v>4.0</v>
      </c>
      <c r="AL1675" s="20" t="s">
        <v>3</v>
      </c>
      <c r="AM1675" s="20" t="s">
        <v>51</v>
      </c>
      <c r="AN1675" s="21">
        <v>2948.0</v>
      </c>
      <c r="AO1675" s="21">
        <v>20.0</v>
      </c>
      <c r="AP1675" s="20">
        <v>72595.0</v>
      </c>
      <c r="AQ1675" s="20">
        <v>50953.51</v>
      </c>
    </row>
    <row r="1676" ht="22.5" hidden="1" customHeight="1">
      <c r="AJ1676" s="20" t="s">
        <v>65</v>
      </c>
      <c r="AK1676" s="21">
        <v>4.0</v>
      </c>
      <c r="AL1676" s="20" t="s">
        <v>5</v>
      </c>
      <c r="AM1676" s="20" t="s">
        <v>46</v>
      </c>
      <c r="AN1676" s="21">
        <v>33668.0</v>
      </c>
      <c r="AO1676" s="21">
        <v>20.0</v>
      </c>
      <c r="AP1676" s="20">
        <v>73127.0</v>
      </c>
      <c r="AQ1676" s="20">
        <v>50992.51</v>
      </c>
    </row>
    <row r="1677" ht="22.5" hidden="1" customHeight="1">
      <c r="AJ1677" s="20" t="s">
        <v>65</v>
      </c>
      <c r="AK1677" s="21">
        <v>4.0</v>
      </c>
      <c r="AL1677" s="20" t="s">
        <v>3</v>
      </c>
      <c r="AM1677" s="20" t="s">
        <v>47</v>
      </c>
      <c r="AN1677" s="21">
        <v>1156.0</v>
      </c>
      <c r="AO1677" s="21">
        <v>20.0</v>
      </c>
      <c r="AP1677" s="20">
        <v>76359.0</v>
      </c>
      <c r="AQ1677" s="20">
        <v>50993.82</v>
      </c>
    </row>
    <row r="1678" ht="22.5" hidden="1" customHeight="1">
      <c r="AJ1678" s="20" t="s">
        <v>65</v>
      </c>
      <c r="AK1678" s="21">
        <v>4.0</v>
      </c>
      <c r="AL1678" s="20" t="s">
        <v>2</v>
      </c>
      <c r="AM1678" s="20" t="s">
        <v>53</v>
      </c>
      <c r="AN1678" s="21">
        <v>2948.0</v>
      </c>
      <c r="AO1678" s="21">
        <v>10.0</v>
      </c>
      <c r="AP1678" s="20">
        <v>64698.0</v>
      </c>
      <c r="AQ1678" s="20">
        <v>51039.82</v>
      </c>
    </row>
    <row r="1679" ht="22.5" hidden="1" customHeight="1">
      <c r="AJ1679" s="20" t="s">
        <v>65</v>
      </c>
      <c r="AK1679" s="21">
        <v>4.0</v>
      </c>
      <c r="AL1679" s="20" t="s">
        <v>3</v>
      </c>
      <c r="AM1679" s="20" t="s">
        <v>56</v>
      </c>
      <c r="AN1679" s="21">
        <v>4996.0</v>
      </c>
      <c r="AO1679" s="21">
        <v>20.0</v>
      </c>
      <c r="AP1679" s="20">
        <v>76867.0</v>
      </c>
      <c r="AQ1679" s="20">
        <v>51042.46</v>
      </c>
    </row>
    <row r="1680" ht="22.5" hidden="1" customHeight="1">
      <c r="AJ1680" s="20" t="s">
        <v>65</v>
      </c>
      <c r="AK1680" s="21">
        <v>5.0</v>
      </c>
      <c r="AL1680" s="20" t="s">
        <v>2</v>
      </c>
      <c r="AM1680" s="20" t="s">
        <v>51</v>
      </c>
      <c r="AN1680" s="21">
        <v>1924.0</v>
      </c>
      <c r="AO1680" s="21">
        <v>10.0</v>
      </c>
      <c r="AP1680" s="20">
        <v>51727.0</v>
      </c>
      <c r="AQ1680" s="20">
        <v>51102.8</v>
      </c>
    </row>
    <row r="1681" ht="22.5" hidden="1" customHeight="1">
      <c r="AJ1681" s="20" t="s">
        <v>65</v>
      </c>
      <c r="AK1681" s="21">
        <v>5.0</v>
      </c>
      <c r="AL1681" s="20" t="s">
        <v>2</v>
      </c>
      <c r="AM1681" s="20" t="s">
        <v>49</v>
      </c>
      <c r="AN1681" s="21">
        <v>4996.0</v>
      </c>
      <c r="AO1681" s="21">
        <v>10.0</v>
      </c>
      <c r="AP1681" s="20">
        <v>57208.0</v>
      </c>
      <c r="AQ1681" s="20">
        <v>51126.97</v>
      </c>
    </row>
    <row r="1682" ht="22.5" hidden="1" customHeight="1">
      <c r="AJ1682" s="20" t="s">
        <v>65</v>
      </c>
      <c r="AK1682" s="21">
        <v>5.0</v>
      </c>
      <c r="AL1682" s="20" t="s">
        <v>2</v>
      </c>
      <c r="AM1682" s="20" t="s">
        <v>50</v>
      </c>
      <c r="AN1682" s="21">
        <v>2948.0</v>
      </c>
      <c r="AO1682" s="21">
        <v>10.0</v>
      </c>
      <c r="AP1682" s="20">
        <v>53092.0</v>
      </c>
      <c r="AQ1682" s="20">
        <v>51149.61</v>
      </c>
    </row>
    <row r="1683" ht="22.5" hidden="1" customHeight="1">
      <c r="AJ1683" s="20" t="s">
        <v>65</v>
      </c>
      <c r="AK1683" s="21">
        <v>5.0</v>
      </c>
      <c r="AL1683" s="20" t="s">
        <v>4</v>
      </c>
      <c r="AM1683" s="20" t="s">
        <v>50</v>
      </c>
      <c r="AN1683" s="21">
        <v>1412.0</v>
      </c>
      <c r="AO1683" s="21">
        <v>10.0</v>
      </c>
      <c r="AP1683" s="20">
        <v>53706.0</v>
      </c>
      <c r="AQ1683" s="20">
        <v>51164.37</v>
      </c>
    </row>
    <row r="1684" ht="22.5" hidden="1" customHeight="1">
      <c r="AJ1684" s="20" t="s">
        <v>65</v>
      </c>
      <c r="AK1684" s="21">
        <v>5.0</v>
      </c>
      <c r="AL1684" s="20" t="s">
        <v>4</v>
      </c>
      <c r="AM1684" s="20" t="s">
        <v>55</v>
      </c>
      <c r="AN1684" s="21">
        <v>17284.0</v>
      </c>
      <c r="AO1684" s="21">
        <v>10.0</v>
      </c>
      <c r="AP1684" s="20">
        <v>55987.0</v>
      </c>
      <c r="AQ1684" s="20">
        <v>51166.14</v>
      </c>
    </row>
    <row r="1685" ht="22.5" hidden="1" customHeight="1">
      <c r="AJ1685" s="20" t="s">
        <v>65</v>
      </c>
      <c r="AK1685" s="21">
        <v>5.0</v>
      </c>
      <c r="AL1685" s="20" t="s">
        <v>5</v>
      </c>
      <c r="AM1685" s="20" t="s">
        <v>46</v>
      </c>
      <c r="AN1685" s="21">
        <v>4996.0</v>
      </c>
      <c r="AO1685" s="21">
        <v>20.0</v>
      </c>
      <c r="AP1685" s="20">
        <v>52932.0</v>
      </c>
      <c r="AQ1685" s="20">
        <v>51185.86</v>
      </c>
    </row>
    <row r="1686" ht="22.5" hidden="1" customHeight="1">
      <c r="AJ1686" s="20" t="s">
        <v>65</v>
      </c>
      <c r="AK1686" s="21">
        <v>4.0</v>
      </c>
      <c r="AL1686" s="20" t="s">
        <v>4</v>
      </c>
      <c r="AM1686" s="20" t="s">
        <v>47</v>
      </c>
      <c r="AN1686" s="21">
        <v>1924.0</v>
      </c>
      <c r="AO1686" s="21">
        <v>10.0</v>
      </c>
      <c r="AP1686" s="20">
        <v>76359.0</v>
      </c>
      <c r="AQ1686" s="20">
        <v>51191.68</v>
      </c>
    </row>
    <row r="1687" ht="22.5" hidden="1" customHeight="1">
      <c r="AJ1687" s="20" t="s">
        <v>65</v>
      </c>
      <c r="AK1687" s="21">
        <v>5.0</v>
      </c>
      <c r="AL1687" s="20" t="s">
        <v>5</v>
      </c>
      <c r="AM1687" s="20" t="s">
        <v>55</v>
      </c>
      <c r="AN1687" s="21">
        <v>33668.0</v>
      </c>
      <c r="AO1687" s="21">
        <v>20.0</v>
      </c>
      <c r="AP1687" s="20">
        <v>56023.0</v>
      </c>
      <c r="AQ1687" s="20">
        <v>51205.14</v>
      </c>
    </row>
    <row r="1688" ht="22.5" hidden="1" customHeight="1">
      <c r="AJ1688" s="20" t="s">
        <v>65</v>
      </c>
      <c r="AK1688" s="21">
        <v>5.0</v>
      </c>
      <c r="AL1688" s="20" t="s">
        <v>4</v>
      </c>
      <c r="AM1688" s="20" t="s">
        <v>56</v>
      </c>
      <c r="AN1688" s="21">
        <v>1156.0</v>
      </c>
      <c r="AO1688" s="21">
        <v>10.0</v>
      </c>
      <c r="AP1688" s="20">
        <v>53728.0</v>
      </c>
      <c r="AQ1688" s="20">
        <v>51225.22</v>
      </c>
    </row>
    <row r="1689" ht="22.5" hidden="1" customHeight="1">
      <c r="AJ1689" s="20" t="s">
        <v>65</v>
      </c>
      <c r="AK1689" s="21">
        <v>5.0</v>
      </c>
      <c r="AL1689" s="20" t="s">
        <v>2</v>
      </c>
      <c r="AM1689" s="20" t="s">
        <v>48</v>
      </c>
      <c r="AN1689" s="21">
        <v>1412.0</v>
      </c>
      <c r="AO1689" s="21">
        <v>10.0</v>
      </c>
      <c r="AP1689" s="20">
        <v>54114.0</v>
      </c>
      <c r="AQ1689" s="20">
        <v>51231.74</v>
      </c>
    </row>
    <row r="1690" ht="22.5" hidden="1" customHeight="1">
      <c r="AJ1690" s="20" t="s">
        <v>65</v>
      </c>
      <c r="AK1690" s="21">
        <v>5.0</v>
      </c>
      <c r="AL1690" s="20" t="s">
        <v>5</v>
      </c>
      <c r="AM1690" s="20" t="s">
        <v>54</v>
      </c>
      <c r="AN1690" s="21">
        <v>1924.0</v>
      </c>
      <c r="AO1690" s="21">
        <v>20.0</v>
      </c>
      <c r="AP1690" s="20">
        <v>50404.0</v>
      </c>
      <c r="AQ1690" s="20">
        <v>51302.33</v>
      </c>
    </row>
    <row r="1691" ht="22.5" hidden="1" customHeight="1">
      <c r="AJ1691" s="20" t="s">
        <v>65</v>
      </c>
      <c r="AK1691" s="21">
        <v>4.0</v>
      </c>
      <c r="AL1691" s="20" t="s">
        <v>4</v>
      </c>
      <c r="AM1691" s="20" t="s">
        <v>54</v>
      </c>
      <c r="AN1691" s="21">
        <v>66436.0</v>
      </c>
      <c r="AO1691" s="21">
        <v>10.0</v>
      </c>
      <c r="AP1691" s="20">
        <v>71707.0</v>
      </c>
      <c r="AQ1691" s="20">
        <v>51442.2</v>
      </c>
    </row>
    <row r="1692" ht="22.5" hidden="1" customHeight="1">
      <c r="AJ1692" s="20" t="s">
        <v>28</v>
      </c>
      <c r="AK1692" s="21">
        <v>1.0</v>
      </c>
      <c r="AL1692" s="20" t="s">
        <v>5</v>
      </c>
      <c r="AM1692" s="20" t="s">
        <v>37</v>
      </c>
      <c r="AN1692" s="21">
        <v>1156.0</v>
      </c>
      <c r="AO1692" s="21">
        <v>20.0</v>
      </c>
      <c r="AP1692" s="20">
        <v>10536.31</v>
      </c>
      <c r="AQ1692" s="20">
        <v>51973.87</v>
      </c>
    </row>
    <row r="1693" ht="22.5" hidden="1" customHeight="1">
      <c r="AJ1693" s="20" t="s">
        <v>28</v>
      </c>
      <c r="AK1693" s="21">
        <v>1.0</v>
      </c>
      <c r="AL1693" s="20" t="s">
        <v>5</v>
      </c>
      <c r="AM1693" s="20" t="s">
        <v>39</v>
      </c>
      <c r="AN1693" s="21">
        <v>131972.0</v>
      </c>
      <c r="AO1693" s="21">
        <v>20.0</v>
      </c>
      <c r="AP1693" s="20">
        <v>22807.57</v>
      </c>
      <c r="AQ1693" s="20">
        <v>58360.51</v>
      </c>
    </row>
    <row r="1694" ht="22.5" hidden="1" customHeight="1">
      <c r="AJ1694" s="20" t="s">
        <v>28</v>
      </c>
      <c r="AK1694" s="21">
        <v>1.0</v>
      </c>
      <c r="AL1694" s="20" t="s">
        <v>5</v>
      </c>
      <c r="AM1694" s="20" t="s">
        <v>39</v>
      </c>
      <c r="AN1694" s="21">
        <v>9092.0</v>
      </c>
      <c r="AO1694" s="21">
        <v>20.0</v>
      </c>
      <c r="AP1694" s="20">
        <v>22812.57</v>
      </c>
      <c r="AQ1694" s="20">
        <v>59023.46</v>
      </c>
    </row>
    <row r="1695" ht="22.5" hidden="1" customHeight="1">
      <c r="AJ1695" s="20" t="s">
        <v>28</v>
      </c>
      <c r="AK1695" s="21">
        <v>1.0</v>
      </c>
      <c r="AL1695" s="20" t="s">
        <v>4</v>
      </c>
      <c r="AM1695" s="20" t="s">
        <v>39</v>
      </c>
      <c r="AN1695" s="21">
        <v>131972.0</v>
      </c>
      <c r="AO1695" s="21">
        <v>10.0</v>
      </c>
      <c r="AP1695" s="20">
        <v>22807.57</v>
      </c>
      <c r="AQ1695" s="20">
        <v>59280.1</v>
      </c>
    </row>
    <row r="1696" ht="22.5" hidden="1" customHeight="1">
      <c r="AJ1696" s="20" t="s">
        <v>28</v>
      </c>
      <c r="AK1696" s="21">
        <v>1.0</v>
      </c>
      <c r="AL1696" s="20" t="s">
        <v>2</v>
      </c>
      <c r="AM1696" s="20" t="s">
        <v>39</v>
      </c>
      <c r="AN1696" s="21">
        <v>1156.0</v>
      </c>
      <c r="AO1696" s="21">
        <v>10.0</v>
      </c>
      <c r="AP1696" s="20">
        <v>22522.46</v>
      </c>
      <c r="AQ1696" s="20">
        <v>59310.88</v>
      </c>
    </row>
    <row r="1697" ht="22.5" hidden="1" customHeight="1">
      <c r="AJ1697" s="20" t="s">
        <v>28</v>
      </c>
      <c r="AK1697" s="21">
        <v>1.0</v>
      </c>
      <c r="AL1697" s="20" t="s">
        <v>5</v>
      </c>
      <c r="AM1697" s="20" t="s">
        <v>39</v>
      </c>
      <c r="AN1697" s="21">
        <v>33668.0</v>
      </c>
      <c r="AO1697" s="21">
        <v>20.0</v>
      </c>
      <c r="AP1697" s="20">
        <v>22842.51</v>
      </c>
      <c r="AQ1697" s="20">
        <v>59446.7</v>
      </c>
    </row>
    <row r="1698" ht="22.5" hidden="1" customHeight="1">
      <c r="AJ1698" s="20" t="s">
        <v>28</v>
      </c>
      <c r="AK1698" s="21">
        <v>1.0</v>
      </c>
      <c r="AL1698" s="20" t="s">
        <v>5</v>
      </c>
      <c r="AM1698" s="20" t="s">
        <v>39</v>
      </c>
      <c r="AN1698" s="21">
        <v>17284.0</v>
      </c>
      <c r="AO1698" s="21">
        <v>20.0</v>
      </c>
      <c r="AP1698" s="20">
        <v>22842.51</v>
      </c>
      <c r="AQ1698" s="20">
        <v>59478.31</v>
      </c>
    </row>
    <row r="1699" ht="22.5" hidden="1" customHeight="1">
      <c r="AJ1699" s="20" t="s">
        <v>28</v>
      </c>
      <c r="AK1699" s="21">
        <v>1.0</v>
      </c>
      <c r="AL1699" s="20" t="s">
        <v>5</v>
      </c>
      <c r="AM1699" s="20" t="s">
        <v>39</v>
      </c>
      <c r="AN1699" s="21">
        <v>66436.0</v>
      </c>
      <c r="AO1699" s="21">
        <v>20.0</v>
      </c>
      <c r="AP1699" s="20">
        <v>22842.51</v>
      </c>
      <c r="AQ1699" s="20">
        <v>59561.48</v>
      </c>
    </row>
    <row r="1700" ht="22.5" hidden="1" customHeight="1">
      <c r="AJ1700" s="20" t="s">
        <v>28</v>
      </c>
      <c r="AK1700" s="21">
        <v>1.0</v>
      </c>
      <c r="AL1700" s="20" t="s">
        <v>5</v>
      </c>
      <c r="AM1700" s="20" t="s">
        <v>39</v>
      </c>
      <c r="AN1700" s="21">
        <v>2948.0</v>
      </c>
      <c r="AO1700" s="21">
        <v>20.0</v>
      </c>
      <c r="AP1700" s="20">
        <v>22842.51</v>
      </c>
      <c r="AQ1700" s="20">
        <v>59779.83</v>
      </c>
    </row>
    <row r="1701" ht="22.5" hidden="1" customHeight="1">
      <c r="AJ1701" s="20" t="s">
        <v>28</v>
      </c>
      <c r="AK1701" s="21">
        <v>1.0</v>
      </c>
      <c r="AL1701" s="20" t="s">
        <v>4</v>
      </c>
      <c r="AM1701" s="20" t="s">
        <v>39</v>
      </c>
      <c r="AN1701" s="21">
        <v>1156.0</v>
      </c>
      <c r="AO1701" s="21">
        <v>10.0</v>
      </c>
      <c r="AP1701" s="20">
        <v>22522.46</v>
      </c>
      <c r="AQ1701" s="20">
        <v>59806.93</v>
      </c>
    </row>
    <row r="1702" ht="22.5" hidden="1" customHeight="1">
      <c r="AJ1702" s="20" t="s">
        <v>28</v>
      </c>
      <c r="AK1702" s="21">
        <v>1.0</v>
      </c>
      <c r="AL1702" s="20" t="s">
        <v>5</v>
      </c>
      <c r="AM1702" s="20" t="s">
        <v>39</v>
      </c>
      <c r="AN1702" s="21">
        <v>1412.0</v>
      </c>
      <c r="AO1702" s="21">
        <v>20.0</v>
      </c>
      <c r="AP1702" s="20">
        <v>22807.57</v>
      </c>
      <c r="AQ1702" s="20">
        <v>59870.31</v>
      </c>
    </row>
    <row r="1703" ht="22.5" hidden="1" customHeight="1">
      <c r="AJ1703" s="20" t="s">
        <v>28</v>
      </c>
      <c r="AK1703" s="21">
        <v>1.0</v>
      </c>
      <c r="AL1703" s="20" t="s">
        <v>3</v>
      </c>
      <c r="AM1703" s="20" t="s">
        <v>39</v>
      </c>
      <c r="AN1703" s="21">
        <v>1412.0</v>
      </c>
      <c r="AO1703" s="21">
        <v>20.0</v>
      </c>
      <c r="AP1703" s="20">
        <v>22807.57</v>
      </c>
      <c r="AQ1703" s="20">
        <v>59953.42</v>
      </c>
    </row>
    <row r="1704" ht="22.5" hidden="1" customHeight="1">
      <c r="AJ1704" s="20" t="s">
        <v>28</v>
      </c>
      <c r="AK1704" s="21">
        <v>1.0</v>
      </c>
      <c r="AL1704" s="20" t="s">
        <v>3</v>
      </c>
      <c r="AM1704" s="20" t="s">
        <v>39</v>
      </c>
      <c r="AN1704" s="21">
        <v>2948.0</v>
      </c>
      <c r="AO1704" s="21">
        <v>20.0</v>
      </c>
      <c r="AP1704" s="20">
        <v>22842.51</v>
      </c>
      <c r="AQ1704" s="20">
        <v>60047.23</v>
      </c>
    </row>
    <row r="1705" ht="22.5" hidden="1" customHeight="1">
      <c r="AJ1705" s="20" t="s">
        <v>28</v>
      </c>
      <c r="AK1705" s="21">
        <v>1.0</v>
      </c>
      <c r="AL1705" s="20" t="s">
        <v>4</v>
      </c>
      <c r="AM1705" s="20" t="s">
        <v>39</v>
      </c>
      <c r="AN1705" s="21">
        <v>66436.0</v>
      </c>
      <c r="AO1705" s="21">
        <v>10.0</v>
      </c>
      <c r="AP1705" s="20">
        <v>22842.51</v>
      </c>
      <c r="AQ1705" s="20">
        <v>60472.16</v>
      </c>
    </row>
    <row r="1706" ht="22.5" hidden="1" customHeight="1">
      <c r="AJ1706" s="20" t="s">
        <v>28</v>
      </c>
      <c r="AK1706" s="21">
        <v>1.0</v>
      </c>
      <c r="AL1706" s="20" t="s">
        <v>4</v>
      </c>
      <c r="AM1706" s="20" t="s">
        <v>39</v>
      </c>
      <c r="AN1706" s="21">
        <v>1924.0</v>
      </c>
      <c r="AO1706" s="21">
        <v>10.0</v>
      </c>
      <c r="AP1706" s="20">
        <v>22750.42</v>
      </c>
      <c r="AQ1706" s="20">
        <v>60480.1</v>
      </c>
    </row>
    <row r="1707" ht="22.5" hidden="1" customHeight="1">
      <c r="AJ1707" s="20" t="s">
        <v>28</v>
      </c>
      <c r="AK1707" s="21">
        <v>1.0</v>
      </c>
      <c r="AL1707" s="20" t="s">
        <v>4</v>
      </c>
      <c r="AM1707" s="20" t="s">
        <v>39</v>
      </c>
      <c r="AN1707" s="21">
        <v>2948.0</v>
      </c>
      <c r="AO1707" s="21">
        <v>10.0</v>
      </c>
      <c r="AP1707" s="20">
        <v>22842.51</v>
      </c>
      <c r="AQ1707" s="20">
        <v>60498.98</v>
      </c>
    </row>
    <row r="1708" ht="22.5" hidden="1" customHeight="1">
      <c r="AJ1708" s="20" t="s">
        <v>28</v>
      </c>
      <c r="AK1708" s="21">
        <v>1.0</v>
      </c>
      <c r="AL1708" s="20" t="s">
        <v>5</v>
      </c>
      <c r="AM1708" s="20" t="s">
        <v>39</v>
      </c>
      <c r="AN1708" s="21">
        <v>1924.0</v>
      </c>
      <c r="AO1708" s="21">
        <v>20.0</v>
      </c>
      <c r="AP1708" s="20">
        <v>22750.42</v>
      </c>
      <c r="AQ1708" s="20">
        <v>60508.01</v>
      </c>
    </row>
    <row r="1709" ht="22.5" hidden="1" customHeight="1">
      <c r="AJ1709" s="20" t="s">
        <v>28</v>
      </c>
      <c r="AK1709" s="21">
        <v>1.0</v>
      </c>
      <c r="AL1709" s="20" t="s">
        <v>4</v>
      </c>
      <c r="AM1709" s="20" t="s">
        <v>39</v>
      </c>
      <c r="AN1709" s="21">
        <v>1412.0</v>
      </c>
      <c r="AO1709" s="21">
        <v>10.0</v>
      </c>
      <c r="AP1709" s="20">
        <v>22807.57</v>
      </c>
      <c r="AQ1709" s="20">
        <v>60512.76</v>
      </c>
    </row>
    <row r="1710" ht="22.5" hidden="1" customHeight="1">
      <c r="AJ1710" s="20" t="s">
        <v>28</v>
      </c>
      <c r="AK1710" s="21">
        <v>1.0</v>
      </c>
      <c r="AL1710" s="20" t="s">
        <v>5</v>
      </c>
      <c r="AM1710" s="20" t="s">
        <v>39</v>
      </c>
      <c r="AN1710" s="21">
        <v>4996.0</v>
      </c>
      <c r="AO1710" s="21">
        <v>20.0</v>
      </c>
      <c r="AP1710" s="20">
        <v>22633.44</v>
      </c>
      <c r="AQ1710" s="20">
        <v>60544.3</v>
      </c>
    </row>
    <row r="1711" ht="22.5" hidden="1" customHeight="1">
      <c r="AJ1711" s="20" t="s">
        <v>28</v>
      </c>
      <c r="AK1711" s="21">
        <v>1.0</v>
      </c>
      <c r="AL1711" s="20" t="s">
        <v>2</v>
      </c>
      <c r="AM1711" s="20" t="s">
        <v>39</v>
      </c>
      <c r="AN1711" s="21">
        <v>1924.0</v>
      </c>
      <c r="AO1711" s="21">
        <v>10.0</v>
      </c>
      <c r="AP1711" s="20">
        <v>22750.42</v>
      </c>
      <c r="AQ1711" s="20">
        <v>60652.21</v>
      </c>
    </row>
    <row r="1712" ht="22.5" hidden="1" customHeight="1">
      <c r="AJ1712" s="20" t="s">
        <v>28</v>
      </c>
      <c r="AK1712" s="21">
        <v>1.0</v>
      </c>
      <c r="AL1712" s="20" t="s">
        <v>2</v>
      </c>
      <c r="AM1712" s="20" t="s">
        <v>39</v>
      </c>
      <c r="AN1712" s="21">
        <v>4996.0</v>
      </c>
      <c r="AO1712" s="21">
        <v>10.0</v>
      </c>
      <c r="AP1712" s="20">
        <v>22633.44</v>
      </c>
      <c r="AQ1712" s="20">
        <v>60817.75</v>
      </c>
    </row>
    <row r="1713" ht="22.5" hidden="1" customHeight="1">
      <c r="AJ1713" s="20" t="s">
        <v>28</v>
      </c>
      <c r="AK1713" s="21">
        <v>1.0</v>
      </c>
      <c r="AL1713" s="20" t="s">
        <v>5</v>
      </c>
      <c r="AM1713" s="20" t="s">
        <v>39</v>
      </c>
      <c r="AN1713" s="21">
        <v>1156.0</v>
      </c>
      <c r="AO1713" s="21">
        <v>20.0</v>
      </c>
      <c r="AP1713" s="20">
        <v>22522.46</v>
      </c>
      <c r="AQ1713" s="20">
        <v>60939.2</v>
      </c>
    </row>
    <row r="1714" ht="22.5" hidden="1" customHeight="1">
      <c r="AJ1714" s="20" t="s">
        <v>28</v>
      </c>
      <c r="AK1714" s="21">
        <v>1.0</v>
      </c>
      <c r="AL1714" s="20" t="s">
        <v>2</v>
      </c>
      <c r="AM1714" s="20" t="s">
        <v>39</v>
      </c>
      <c r="AN1714" s="21">
        <v>2948.0</v>
      </c>
      <c r="AO1714" s="21">
        <v>10.0</v>
      </c>
      <c r="AP1714" s="20">
        <v>22842.51</v>
      </c>
      <c r="AQ1714" s="20">
        <v>61013.09</v>
      </c>
    </row>
    <row r="1715" ht="22.5" hidden="1" customHeight="1">
      <c r="AJ1715" s="20" t="s">
        <v>28</v>
      </c>
      <c r="AK1715" s="21">
        <v>1.0</v>
      </c>
      <c r="AL1715" s="20" t="s">
        <v>4</v>
      </c>
      <c r="AM1715" s="20" t="s">
        <v>39</v>
      </c>
      <c r="AN1715" s="21">
        <v>4996.0</v>
      </c>
      <c r="AO1715" s="21">
        <v>10.0</v>
      </c>
      <c r="AP1715" s="20">
        <v>22633.44</v>
      </c>
      <c r="AQ1715" s="20">
        <v>61161.38</v>
      </c>
    </row>
    <row r="1716" ht="22.5" hidden="1" customHeight="1">
      <c r="AJ1716" s="20" t="s">
        <v>28</v>
      </c>
      <c r="AK1716" s="21">
        <v>1.0</v>
      </c>
      <c r="AL1716" s="20" t="s">
        <v>2</v>
      </c>
      <c r="AM1716" s="20" t="s">
        <v>39</v>
      </c>
      <c r="AN1716" s="21">
        <v>1412.0</v>
      </c>
      <c r="AO1716" s="21">
        <v>10.0</v>
      </c>
      <c r="AP1716" s="20">
        <v>22807.57</v>
      </c>
      <c r="AQ1716" s="20">
        <v>61295.87</v>
      </c>
    </row>
    <row r="1717" ht="22.5" hidden="1" customHeight="1">
      <c r="AJ1717" s="20" t="s">
        <v>28</v>
      </c>
      <c r="AK1717" s="21">
        <v>1.0</v>
      </c>
      <c r="AL1717" s="20" t="s">
        <v>4</v>
      </c>
      <c r="AM1717" s="20" t="s">
        <v>39</v>
      </c>
      <c r="AN1717" s="21">
        <v>9092.0</v>
      </c>
      <c r="AO1717" s="21">
        <v>10.0</v>
      </c>
      <c r="AP1717" s="20">
        <v>22812.57</v>
      </c>
      <c r="AQ1717" s="20">
        <v>61985.59</v>
      </c>
    </row>
    <row r="1718" ht="22.5" hidden="1" customHeight="1">
      <c r="AJ1718" s="20" t="s">
        <v>28</v>
      </c>
      <c r="AK1718" s="21">
        <v>1.0</v>
      </c>
      <c r="AL1718" s="20" t="s">
        <v>2</v>
      </c>
      <c r="AM1718" s="20" t="s">
        <v>38</v>
      </c>
      <c r="AN1718" s="21">
        <v>1412.0</v>
      </c>
      <c r="AO1718" s="21">
        <v>10.0</v>
      </c>
      <c r="AP1718" s="20">
        <v>25843.38</v>
      </c>
      <c r="AQ1718" s="20">
        <v>62861.45</v>
      </c>
    </row>
    <row r="1719" ht="22.5" hidden="1" customHeight="1">
      <c r="AJ1719" s="20" t="s">
        <v>28</v>
      </c>
      <c r="AK1719" s="21">
        <v>1.0</v>
      </c>
      <c r="AL1719" s="20" t="s">
        <v>3</v>
      </c>
      <c r="AM1719" s="20" t="s">
        <v>39</v>
      </c>
      <c r="AN1719" s="21">
        <v>1156.0</v>
      </c>
      <c r="AO1719" s="21">
        <v>20.0</v>
      </c>
      <c r="AP1719" s="20">
        <v>22522.46</v>
      </c>
      <c r="AQ1719" s="20">
        <v>108641.56</v>
      </c>
    </row>
    <row r="1720" ht="22.5" hidden="1" customHeight="1">
      <c r="AJ1720" s="20" t="s">
        <v>28</v>
      </c>
      <c r="AK1720" s="21">
        <v>1.0</v>
      </c>
      <c r="AL1720" s="20" t="s">
        <v>4</v>
      </c>
      <c r="AM1720" s="20" t="s">
        <v>39</v>
      </c>
      <c r="AN1720" s="21">
        <v>17284.0</v>
      </c>
      <c r="AO1720" s="21">
        <v>10.0</v>
      </c>
      <c r="AP1720" s="20">
        <v>22842.51</v>
      </c>
      <c r="AQ1720" s="20">
        <v>110964.91</v>
      </c>
    </row>
    <row r="1721" ht="22.5" hidden="1" customHeight="1">
      <c r="AJ1721" s="20" t="s">
        <v>28</v>
      </c>
      <c r="AK1721" s="21">
        <v>1.0</v>
      </c>
      <c r="AL1721" s="20" t="s">
        <v>5</v>
      </c>
      <c r="AM1721" s="20" t="s">
        <v>40</v>
      </c>
      <c r="AN1721" s="21">
        <v>2948.0</v>
      </c>
      <c r="AO1721" s="21">
        <v>20.0</v>
      </c>
      <c r="AP1721" s="20">
        <v>27943.56</v>
      </c>
      <c r="AQ1721" s="20">
        <v>124597.19</v>
      </c>
    </row>
    <row r="1722" ht="22.5" hidden="1" customHeight="1">
      <c r="AJ1722" s="20" t="s">
        <v>28</v>
      </c>
      <c r="AK1722" s="21">
        <v>1.0</v>
      </c>
      <c r="AL1722" s="20" t="s">
        <v>5</v>
      </c>
      <c r="AM1722" s="20" t="s">
        <v>40</v>
      </c>
      <c r="AN1722" s="21">
        <v>1156.0</v>
      </c>
      <c r="AO1722" s="21">
        <v>20.0</v>
      </c>
      <c r="AP1722" s="20">
        <v>27943.56</v>
      </c>
      <c r="AQ1722" s="20">
        <v>126202.68</v>
      </c>
    </row>
    <row r="1723" ht="22.5" hidden="1" customHeight="1">
      <c r="AJ1723" s="20" t="s">
        <v>28</v>
      </c>
      <c r="AK1723" s="21">
        <v>1.0</v>
      </c>
      <c r="AL1723" s="20" t="s">
        <v>5</v>
      </c>
      <c r="AM1723" s="20" t="s">
        <v>40</v>
      </c>
      <c r="AN1723" s="21">
        <v>17284.0</v>
      </c>
      <c r="AO1723" s="21">
        <v>20.0</v>
      </c>
      <c r="AP1723" s="20">
        <v>28037.29</v>
      </c>
      <c r="AQ1723" s="20">
        <v>173624.13</v>
      </c>
    </row>
    <row r="1724" ht="22.5" hidden="1" customHeight="1">
      <c r="AJ1724" s="20" t="s">
        <v>28</v>
      </c>
      <c r="AK1724" s="21">
        <v>1.0</v>
      </c>
      <c r="AL1724" s="20" t="s">
        <v>5</v>
      </c>
      <c r="AM1724" s="20" t="s">
        <v>40</v>
      </c>
      <c r="AN1724" s="21">
        <v>66436.0</v>
      </c>
      <c r="AO1724" s="21">
        <v>20.0</v>
      </c>
      <c r="AP1724" s="20">
        <v>27943.56</v>
      </c>
      <c r="AQ1724" s="20">
        <v>173839.0</v>
      </c>
    </row>
    <row r="1725" ht="22.5" hidden="1" customHeight="1">
      <c r="AJ1725" s="20" t="s">
        <v>28</v>
      </c>
      <c r="AK1725" s="21">
        <v>1.0</v>
      </c>
      <c r="AL1725" s="20" t="s">
        <v>4</v>
      </c>
      <c r="AM1725" s="20" t="s">
        <v>40</v>
      </c>
      <c r="AN1725" s="21">
        <v>17284.0</v>
      </c>
      <c r="AO1725" s="21">
        <v>10.0</v>
      </c>
      <c r="AP1725" s="20">
        <v>28037.29</v>
      </c>
      <c r="AQ1725" s="20">
        <v>174216.71</v>
      </c>
    </row>
    <row r="1726" ht="22.5" hidden="1" customHeight="1">
      <c r="AJ1726" s="20" t="s">
        <v>28</v>
      </c>
      <c r="AK1726" s="21">
        <v>1.0</v>
      </c>
      <c r="AL1726" s="20" t="s">
        <v>5</v>
      </c>
      <c r="AM1726" s="20" t="s">
        <v>40</v>
      </c>
      <c r="AN1726" s="21">
        <v>33668.0</v>
      </c>
      <c r="AO1726" s="21">
        <v>20.0</v>
      </c>
      <c r="AP1726" s="20">
        <v>28037.29</v>
      </c>
      <c r="AQ1726" s="20">
        <v>174604.67</v>
      </c>
    </row>
    <row r="1727" ht="22.5" hidden="1" customHeight="1">
      <c r="AJ1727" s="20" t="s">
        <v>28</v>
      </c>
      <c r="AK1727" s="21">
        <v>1.0</v>
      </c>
      <c r="AL1727" s="20" t="s">
        <v>5</v>
      </c>
      <c r="AM1727" s="20" t="s">
        <v>40</v>
      </c>
      <c r="AN1727" s="21">
        <v>4996.0</v>
      </c>
      <c r="AO1727" s="21">
        <v>20.0</v>
      </c>
      <c r="AP1727" s="20">
        <v>28037.29</v>
      </c>
      <c r="AQ1727" s="20">
        <v>174908.76</v>
      </c>
    </row>
    <row r="1728" ht="22.5" hidden="1" customHeight="1">
      <c r="AJ1728" s="20" t="s">
        <v>28</v>
      </c>
      <c r="AK1728" s="21">
        <v>1.0</v>
      </c>
      <c r="AL1728" s="20" t="s">
        <v>4</v>
      </c>
      <c r="AM1728" s="20" t="s">
        <v>40</v>
      </c>
      <c r="AN1728" s="21">
        <v>33668.0</v>
      </c>
      <c r="AO1728" s="21">
        <v>10.0</v>
      </c>
      <c r="AP1728" s="20">
        <v>28037.29</v>
      </c>
      <c r="AQ1728" s="20">
        <v>174919.67</v>
      </c>
    </row>
    <row r="1729" ht="22.5" hidden="1" customHeight="1">
      <c r="AJ1729" s="20" t="s">
        <v>28</v>
      </c>
      <c r="AK1729" s="21">
        <v>1.0</v>
      </c>
      <c r="AL1729" s="20" t="s">
        <v>4</v>
      </c>
      <c r="AM1729" s="20" t="s">
        <v>40</v>
      </c>
      <c r="AN1729" s="21">
        <v>66436.0</v>
      </c>
      <c r="AO1729" s="21">
        <v>10.0</v>
      </c>
      <c r="AP1729" s="20">
        <v>27943.56</v>
      </c>
      <c r="AQ1729" s="20">
        <v>175041.21</v>
      </c>
    </row>
    <row r="1730" ht="22.5" hidden="1" customHeight="1">
      <c r="AJ1730" s="20" t="s">
        <v>28</v>
      </c>
      <c r="AK1730" s="21">
        <v>1.0</v>
      </c>
      <c r="AL1730" s="20" t="s">
        <v>5</v>
      </c>
      <c r="AM1730" s="20" t="s">
        <v>40</v>
      </c>
      <c r="AN1730" s="21">
        <v>131972.0</v>
      </c>
      <c r="AO1730" s="21">
        <v>20.0</v>
      </c>
      <c r="AP1730" s="20">
        <v>28037.29</v>
      </c>
      <c r="AQ1730" s="20">
        <v>175114.56</v>
      </c>
    </row>
    <row r="1731" ht="22.5" hidden="1" customHeight="1">
      <c r="AJ1731" s="20" t="s">
        <v>28</v>
      </c>
      <c r="AK1731" s="21">
        <v>1.0</v>
      </c>
      <c r="AL1731" s="20" t="s">
        <v>5</v>
      </c>
      <c r="AM1731" s="20" t="s">
        <v>40</v>
      </c>
      <c r="AN1731" s="21">
        <v>1412.0</v>
      </c>
      <c r="AO1731" s="21">
        <v>20.0</v>
      </c>
      <c r="AP1731" s="20">
        <v>28037.29</v>
      </c>
      <c r="AQ1731" s="20">
        <v>175160.05</v>
      </c>
    </row>
    <row r="1732" ht="22.5" hidden="1" customHeight="1">
      <c r="AJ1732" s="20" t="s">
        <v>28</v>
      </c>
      <c r="AK1732" s="21">
        <v>1.0</v>
      </c>
      <c r="AL1732" s="20" t="s">
        <v>2</v>
      </c>
      <c r="AM1732" s="20" t="s">
        <v>40</v>
      </c>
      <c r="AN1732" s="21">
        <v>1412.0</v>
      </c>
      <c r="AO1732" s="21">
        <v>10.0</v>
      </c>
      <c r="AP1732" s="20">
        <v>28037.29</v>
      </c>
      <c r="AQ1732" s="20">
        <v>175203.99</v>
      </c>
    </row>
    <row r="1733" ht="22.5" hidden="1" customHeight="1">
      <c r="AJ1733" s="20" t="s">
        <v>28</v>
      </c>
      <c r="AK1733" s="21">
        <v>1.0</v>
      </c>
      <c r="AL1733" s="20" t="s">
        <v>5</v>
      </c>
      <c r="AM1733" s="20" t="s">
        <v>40</v>
      </c>
      <c r="AN1733" s="21">
        <v>9092.0</v>
      </c>
      <c r="AO1733" s="21">
        <v>20.0</v>
      </c>
      <c r="AP1733" s="20">
        <v>28037.29</v>
      </c>
      <c r="AQ1733" s="20">
        <v>175220.23</v>
      </c>
    </row>
    <row r="1734" ht="22.5" hidden="1" customHeight="1">
      <c r="AJ1734" s="20" t="s">
        <v>28</v>
      </c>
      <c r="AK1734" s="21">
        <v>1.0</v>
      </c>
      <c r="AL1734" s="20" t="s">
        <v>4</v>
      </c>
      <c r="AM1734" s="20" t="s">
        <v>40</v>
      </c>
      <c r="AN1734" s="21">
        <v>1924.0</v>
      </c>
      <c r="AO1734" s="21">
        <v>10.0</v>
      </c>
      <c r="AP1734" s="20">
        <v>28037.29</v>
      </c>
      <c r="AQ1734" s="20">
        <v>175305.86</v>
      </c>
    </row>
    <row r="1735" ht="22.5" hidden="1" customHeight="1">
      <c r="AJ1735" s="20" t="s">
        <v>28</v>
      </c>
      <c r="AK1735" s="21">
        <v>1.0</v>
      </c>
      <c r="AL1735" s="20" t="s">
        <v>2</v>
      </c>
      <c r="AM1735" s="20" t="s">
        <v>40</v>
      </c>
      <c r="AN1735" s="21">
        <v>4996.0</v>
      </c>
      <c r="AO1735" s="21">
        <v>10.0</v>
      </c>
      <c r="AP1735" s="20">
        <v>28037.29</v>
      </c>
      <c r="AQ1735" s="20">
        <v>175445.07</v>
      </c>
    </row>
    <row r="1736" ht="22.5" hidden="1" customHeight="1">
      <c r="AJ1736" s="20" t="s">
        <v>28</v>
      </c>
      <c r="AK1736" s="21">
        <v>1.0</v>
      </c>
      <c r="AL1736" s="20" t="s">
        <v>4</v>
      </c>
      <c r="AM1736" s="20" t="s">
        <v>40</v>
      </c>
      <c r="AN1736" s="21">
        <v>9092.0</v>
      </c>
      <c r="AO1736" s="21">
        <v>10.0</v>
      </c>
      <c r="AP1736" s="20">
        <v>28037.29</v>
      </c>
      <c r="AQ1736" s="20">
        <v>175571.5</v>
      </c>
    </row>
    <row r="1737" ht="22.5" hidden="1" customHeight="1">
      <c r="AJ1737" s="20" t="s">
        <v>28</v>
      </c>
      <c r="AK1737" s="21">
        <v>1.0</v>
      </c>
      <c r="AL1737" s="20" t="s">
        <v>4</v>
      </c>
      <c r="AM1737" s="20" t="s">
        <v>40</v>
      </c>
      <c r="AN1737" s="21">
        <v>2948.0</v>
      </c>
      <c r="AO1737" s="21">
        <v>10.0</v>
      </c>
      <c r="AP1737" s="20">
        <v>27943.56</v>
      </c>
      <c r="AQ1737" s="20">
        <v>175667.2</v>
      </c>
    </row>
    <row r="1738" ht="22.5" hidden="1" customHeight="1">
      <c r="AJ1738" s="20" t="s">
        <v>28</v>
      </c>
      <c r="AK1738" s="21">
        <v>1.0</v>
      </c>
      <c r="AL1738" s="20" t="s">
        <v>2</v>
      </c>
      <c r="AM1738" s="20" t="s">
        <v>40</v>
      </c>
      <c r="AN1738" s="21">
        <v>1156.0</v>
      </c>
      <c r="AO1738" s="21">
        <v>10.0</v>
      </c>
      <c r="AP1738" s="20">
        <v>27943.56</v>
      </c>
      <c r="AQ1738" s="20">
        <v>175880.47</v>
      </c>
    </row>
    <row r="1739" ht="22.5" hidden="1" customHeight="1">
      <c r="AJ1739" s="20" t="s">
        <v>28</v>
      </c>
      <c r="AK1739" s="21">
        <v>1.0</v>
      </c>
      <c r="AL1739" s="20" t="s">
        <v>2</v>
      </c>
      <c r="AM1739" s="20" t="s">
        <v>40</v>
      </c>
      <c r="AN1739" s="21">
        <v>2948.0</v>
      </c>
      <c r="AO1739" s="21">
        <v>10.0</v>
      </c>
      <c r="AP1739" s="20">
        <v>27943.56</v>
      </c>
      <c r="AQ1739" s="20">
        <v>176144.77</v>
      </c>
    </row>
    <row r="1740" ht="22.5" hidden="1" customHeight="1">
      <c r="AJ1740" s="20" t="s">
        <v>28</v>
      </c>
      <c r="AK1740" s="21">
        <v>1.0</v>
      </c>
      <c r="AL1740" s="20" t="s">
        <v>4</v>
      </c>
      <c r="AM1740" s="20" t="s">
        <v>40</v>
      </c>
      <c r="AN1740" s="21">
        <v>1412.0</v>
      </c>
      <c r="AO1740" s="21">
        <v>10.0</v>
      </c>
      <c r="AP1740" s="20">
        <v>28037.29</v>
      </c>
      <c r="AQ1740" s="20">
        <v>176315.17</v>
      </c>
    </row>
    <row r="1741" ht="22.5" hidden="1" customHeight="1">
      <c r="AJ1741" s="20" t="s">
        <v>28</v>
      </c>
      <c r="AK1741" s="21">
        <v>1.0</v>
      </c>
      <c r="AL1741" s="20" t="s">
        <v>4</v>
      </c>
      <c r="AM1741" s="20" t="s">
        <v>40</v>
      </c>
      <c r="AN1741" s="21">
        <v>1156.0</v>
      </c>
      <c r="AO1741" s="21">
        <v>10.0</v>
      </c>
      <c r="AP1741" s="20">
        <v>27943.56</v>
      </c>
      <c r="AQ1741" s="20">
        <v>176370.79</v>
      </c>
    </row>
    <row r="1742" ht="22.5" hidden="1" customHeight="1">
      <c r="AJ1742" s="20" t="s">
        <v>28</v>
      </c>
      <c r="AK1742" s="21">
        <v>1.0</v>
      </c>
      <c r="AL1742" s="20" t="s">
        <v>3</v>
      </c>
      <c r="AM1742" s="20" t="s">
        <v>40</v>
      </c>
      <c r="AN1742" s="21">
        <v>1924.0</v>
      </c>
      <c r="AO1742" s="21">
        <v>20.0</v>
      </c>
      <c r="AP1742" s="20">
        <v>28037.29</v>
      </c>
      <c r="AQ1742" s="20">
        <v>176502.24</v>
      </c>
    </row>
    <row r="1743" ht="22.5" hidden="1" customHeight="1">
      <c r="AJ1743" s="20" t="s">
        <v>28</v>
      </c>
      <c r="AK1743" s="21">
        <v>1.0</v>
      </c>
      <c r="AL1743" s="20" t="s">
        <v>3</v>
      </c>
      <c r="AM1743" s="20" t="s">
        <v>40</v>
      </c>
      <c r="AN1743" s="21">
        <v>2948.0</v>
      </c>
      <c r="AO1743" s="21">
        <v>20.0</v>
      </c>
      <c r="AP1743" s="20">
        <v>27943.56</v>
      </c>
      <c r="AQ1743" s="20">
        <v>177346.89</v>
      </c>
    </row>
    <row r="1744" ht="22.5" hidden="1" customHeight="1">
      <c r="AJ1744" s="20" t="s">
        <v>28</v>
      </c>
      <c r="AK1744" s="21">
        <v>1.0</v>
      </c>
      <c r="AL1744" s="20" t="s">
        <v>3</v>
      </c>
      <c r="AM1744" s="20" t="s">
        <v>40</v>
      </c>
      <c r="AN1744" s="21">
        <v>1412.0</v>
      </c>
      <c r="AO1744" s="21">
        <v>20.0</v>
      </c>
      <c r="AP1744" s="20">
        <v>28037.29</v>
      </c>
      <c r="AQ1744" s="20">
        <v>177389.08</v>
      </c>
    </row>
    <row r="1745" ht="22.5" hidden="1" customHeight="1">
      <c r="AJ1745" s="20" t="s">
        <v>28</v>
      </c>
      <c r="AK1745" s="21">
        <v>1.0</v>
      </c>
      <c r="AL1745" s="20" t="s">
        <v>3</v>
      </c>
      <c r="AM1745" s="20" t="s">
        <v>40</v>
      </c>
      <c r="AN1745" s="21">
        <v>4996.0</v>
      </c>
      <c r="AO1745" s="21">
        <v>20.0</v>
      </c>
      <c r="AP1745" s="20">
        <v>28037.29</v>
      </c>
      <c r="AQ1745" s="20">
        <v>177576.98</v>
      </c>
    </row>
    <row r="1746" ht="22.5" hidden="1" customHeight="1">
      <c r="AJ1746" s="20" t="s">
        <v>28</v>
      </c>
      <c r="AK1746" s="21">
        <v>1.0</v>
      </c>
      <c r="AL1746" s="20" t="s">
        <v>4</v>
      </c>
      <c r="AM1746" s="20" t="s">
        <v>40</v>
      </c>
      <c r="AN1746" s="21">
        <v>4996.0</v>
      </c>
      <c r="AO1746" s="21">
        <v>10.0</v>
      </c>
      <c r="AP1746" s="20">
        <v>28037.29</v>
      </c>
      <c r="AQ1746" s="20">
        <v>178053.81</v>
      </c>
    </row>
    <row r="1747" ht="22.5" hidden="1" customHeight="1">
      <c r="AJ1747" s="20" t="s">
        <v>28</v>
      </c>
      <c r="AK1747" s="21">
        <v>1.0</v>
      </c>
      <c r="AL1747" s="20" t="s">
        <v>4</v>
      </c>
      <c r="AM1747" s="20" t="s">
        <v>40</v>
      </c>
      <c r="AN1747" s="21">
        <v>131972.0</v>
      </c>
      <c r="AO1747" s="21">
        <v>10.0</v>
      </c>
      <c r="AP1747" s="20">
        <v>28037.29</v>
      </c>
      <c r="AQ1747" s="20">
        <v>178482.18</v>
      </c>
    </row>
    <row r="1748" ht="22.5" hidden="1" customHeight="1">
      <c r="AJ1748" s="20" t="s">
        <v>28</v>
      </c>
      <c r="AK1748" s="21">
        <v>1.0</v>
      </c>
      <c r="AL1748" s="20" t="s">
        <v>3</v>
      </c>
      <c r="AM1748" s="20" t="s">
        <v>40</v>
      </c>
      <c r="AN1748" s="21">
        <v>1156.0</v>
      </c>
      <c r="AO1748" s="21">
        <v>20.0</v>
      </c>
      <c r="AP1748" s="20">
        <v>27943.56</v>
      </c>
      <c r="AQ1748" s="20">
        <v>178725.9</v>
      </c>
    </row>
    <row r="1749" ht="22.5" hidden="1" customHeight="1">
      <c r="AJ1749" s="20" t="s">
        <v>28</v>
      </c>
      <c r="AK1749" s="21">
        <v>1.0</v>
      </c>
      <c r="AL1749" s="20" t="s">
        <v>5</v>
      </c>
      <c r="AM1749" s="20" t="s">
        <v>40</v>
      </c>
      <c r="AN1749" s="21">
        <v>1924.0</v>
      </c>
      <c r="AO1749" s="21">
        <v>20.0</v>
      </c>
      <c r="AP1749" s="20">
        <v>28037.29</v>
      </c>
      <c r="AQ1749" s="20">
        <v>224122.54</v>
      </c>
    </row>
    <row r="1750" ht="22.5" hidden="1" customHeight="1">
      <c r="AJ1750" s="20" t="s">
        <v>28</v>
      </c>
      <c r="AK1750" s="21">
        <v>1.0</v>
      </c>
      <c r="AL1750" s="20" t="s">
        <v>2</v>
      </c>
      <c r="AM1750" s="20" t="s">
        <v>40</v>
      </c>
      <c r="AN1750" s="21">
        <v>1924.0</v>
      </c>
      <c r="AO1750" s="21">
        <v>10.0</v>
      </c>
      <c r="AP1750" s="20">
        <v>28037.29</v>
      </c>
      <c r="AQ1750" s="20">
        <v>224656.94</v>
      </c>
    </row>
  </sheetData>
  <mergeCells count="21">
    <mergeCell ref="B2:G3"/>
    <mergeCell ref="C5:F5"/>
    <mergeCell ref="G5:J5"/>
    <mergeCell ref="K5:N5"/>
    <mergeCell ref="O5:R5"/>
    <mergeCell ref="C20:F20"/>
    <mergeCell ref="G20:J20"/>
    <mergeCell ref="G50:J50"/>
    <mergeCell ref="K50:N50"/>
    <mergeCell ref="C65:F65"/>
    <mergeCell ref="G65:J65"/>
    <mergeCell ref="K65:N65"/>
    <mergeCell ref="O65:R65"/>
    <mergeCell ref="K20:N20"/>
    <mergeCell ref="O20:R20"/>
    <mergeCell ref="C35:F35"/>
    <mergeCell ref="G35:J35"/>
    <mergeCell ref="K35:N35"/>
    <mergeCell ref="O35:R35"/>
    <mergeCell ref="C50:F50"/>
    <mergeCell ref="O50:R50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20.38"/>
    <col customWidth="1" min="5" max="5" width="13.5"/>
    <col customWidth="1" min="7" max="7" width="20.25"/>
    <col customWidth="1" min="8" max="8" width="16.0"/>
  </cols>
  <sheetData/>
  <drawing r:id="rId1"/>
</worksheet>
</file>