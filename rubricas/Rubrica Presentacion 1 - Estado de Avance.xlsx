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entación EdA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<sst xmlns="http://schemas.openxmlformats.org/spreadsheetml/2006/main" count="26" uniqueCount="26">
  <si>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Presentación - Estado de Avance</t>
  </si>
  <si>
    <t xml:space="preserve">Escala: Excelente (5), Bueno (4), Aceptable (3), Deficiente (2), Malo (1), Ausente (0)</t>
  </si>
  <si>
    <t xml:space="preserve">DESCUENTOS ESTABLECIDOS POR INCUMPLIMIENTO Y NOTAS MIÍNIMAS EN DOCUMENTO "Reglas Proyecto 2025-01"</t>
  </si>
  <si>
    <t xml:space="preserve">Estudiante:</t>
  </si>
  <si>
    <t xml:space="preserve">Representación  y Manejo de Restricciones (20%)</t>
  </si>
  <si>
    <t xml:space="preserve">Explica representación y cómo fue implementada en el código</t>
  </si>
  <si>
    <t xml:space="preserve">Explica cómo abordará las restricciones en el código</t>
  </si>
  <si>
    <t xml:space="preserve">Explica la implementación de la lectura de la instancia en el código (de acuerdo a lo especificado por proyecto)</t>
  </si>
  <si>
    <t xml:space="preserve">Algoritmo  (60%)</t>
  </si>
  <si>
    <t xml:space="preserve">Presenta la lectura de casos de pruebas y la gestión/almacenamiento interno de la información</t>
  </si>
  <si>
    <t xml:space="preserve">Explica el código que genera la Solución Inicial/funciona para todos los casos de pruebas provistos</t>
  </si>
  <si>
    <t xml:space="preserve">Explica el código de la Función de Evaluación/funciona para todos los casos</t>
  </si>
  <si>
    <t xml:space="preserve">Explica el algoritmo que genera soluciones iniciales (greedy o aleatorias de acuerdo a lo pedido). El objetivo del método que se condice con la representación y función de evaluación</t>
  </si>
  <si>
    <t xml:space="preserve">Explica el código de escritura de salida de soluciones/ funciona para todos los casos</t>
  </si>
  <si>
    <t xml:space="preserve">Explica el funcionamiento básico del algoritmo a implementar según la técnica asignada</t>
  </si>
  <si>
    <t xml:space="preserve">Explica el/los movimiento/s diseñado/s que implementará</t>
  </si>
  <si>
    <t xml:space="preserve">Justifica el diseño de los movimientos propuestos (porqué  y qué objetivo tiene cada uno)</t>
  </si>
  <si>
    <t xml:space="preserve">Conclusiones (10%)</t>
  </si>
  <si>
    <t xml:space="preserve">Las conclusiones son acordes a lo expuesto en su presentación</t>
  </si>
  <si>
    <t xml:space="preserve">Se presenta con claridad el trabajo que resta por realizar</t>
  </si>
  <si>
    <t xml:space="preserve">Otros (10%)</t>
  </si>
  <si>
    <t xml:space="preserve">Utiliza referencias bibliográficas durante la presentación</t>
  </si>
  <si>
    <t xml:space="preserve">Utiliza recursos gráficos para realizar su presentación</t>
  </si>
  <si>
    <t xml:space="preserve">Respeta la duración máxima de la presentación (10 minutos)</t>
  </si>
  <si>
    <t xml:space="preserve">Descuentos</t>
  </si>
  <si>
    <t xml:space="preserve">NOTA FINAL ENTREGABLE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</si>
</sst>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0"/>
  </numFmts>
  <fonts count="3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CC00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660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u val="single"/>
      <sz val="11"/>
      <color rgb="FF0000EE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333333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FFFFFF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CCCC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ED7D31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ED7D31"/>
      </patternFill>
    </fill>
    <fill>
      <patternFill patternType="solid">
        <fgColor rgb="FF000000"/>
        <bgColor rgb="FF00008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C00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D7D31"/>
      </patternFill>
    </fill>
    <fill>
      <patternFill patternType="solid">
        <fgColor rgb="FFFFCCCC"/>
        <bgColor rgb="FFFFCC99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0000"/>
        <bgColor rgb="FFFF0000"/>
      </patternFill>
    </fill>
    <fill>
      <patternFill patternType="solid">
        <fgColor rgb="FFFFFFCC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BF9000"/>
        <bgColor rgb="FFED7D31"/>
      </patternFill>
    </fill>
    <fill>
      <patternFill patternType="solid">
        <fgColor rgb="FFFFC000"/>
        <bgColor rgb="FFFFCC00"/>
      </patternFill>
    </fill>
    <fill>
      <patternFill patternType="solid">
        <fgColor rgb="FFED7D31"/>
        <bgColor rgb="FFFF6600"/>
      </patternFill>
    </fill>
    <fill>
      <patternFill patternType="solid">
        <fgColor rgb="FF70AD47"/>
        <bgColor rgb="FF96969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/>
      <top/>
      <bottom style="thin">
        <color rgb="FF0066CC"/>
      </bottom>
      <diagonal/>
    </border>
    <border diagonalUp="false" diagonalDown="false">
      <left/>
      <right/>
      <top/>
      <bottom style="double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9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5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24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8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5" fillId="29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1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8" borderId="1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 1 5" xfId="38"/>
    <cellStyle name="Accent 2 6" xfId="39"/>
    <cellStyle name="Accent 3 7" xfId="40"/>
    <cellStyle name="Accent 4" xfId="41"/>
    <cellStyle name="Accent1" xfId="42"/>
    <cellStyle name="Accent2" xfId="43"/>
    <cellStyle name="Accent3" xfId="44"/>
    <cellStyle name="Accent4" xfId="45"/>
    <cellStyle name="Accent5" xfId="46"/>
    <cellStyle name="Accent6" xfId="47"/>
    <cellStyle name="Bad 1" xfId="48"/>
    <cellStyle name="Bad 8" xfId="49"/>
    <cellStyle name="Calculation" xfId="50"/>
    <cellStyle name="cf1" xfId="51"/>
    <cellStyle name="cf10" xfId="52"/>
    <cellStyle name="cf2" xfId="53"/>
    <cellStyle name="cf3" xfId="54"/>
    <cellStyle name="cf4" xfId="55"/>
    <cellStyle name="cf5" xfId="56"/>
    <cellStyle name="cf6" xfId="57"/>
    <cellStyle name="cf7" xfId="58"/>
    <cellStyle name="cf8" xfId="59"/>
    <cellStyle name="cf9" xfId="60"/>
    <cellStyle name="Check Cell" xfId="61"/>
    <cellStyle name="Error 9" xfId="62"/>
    <cellStyle name="Explanatory Text" xfId="63"/>
    <cellStyle name="Footnote 11" xfId="64"/>
    <cellStyle name="Good 12" xfId="65"/>
    <cellStyle name="Good 2" xfId="66"/>
    <cellStyle name="Heading 1 14" xfId="67"/>
    <cellStyle name="Heading 1 7" xfId="68"/>
    <cellStyle name="Heading 13" xfId="69"/>
    <cellStyle name="Heading 2 15" xfId="70"/>
    <cellStyle name="Heading 2 8" xfId="71"/>
    <cellStyle name="Heading 3" xfId="72"/>
    <cellStyle name="Heading 4" xfId="73"/>
    <cellStyle name="Heading 5" xfId="74"/>
    <cellStyle name="Heading 6" xfId="75"/>
    <cellStyle name="Heading1 6" xfId="76"/>
    <cellStyle name="Hyperlink 16" xfId="77"/>
    <cellStyle name="Input" xfId="78"/>
    <cellStyle name="Linked Cell" xfId="79"/>
    <cellStyle name="Note 17" xfId="80"/>
    <cellStyle name="Note 9" xfId="81"/>
    <cellStyle name="Output" xfId="82"/>
    <cellStyle name="Result 10" xfId="83"/>
    <cellStyle name="Result 18" xfId="84"/>
    <cellStyle name="Result 7" xfId="85"/>
    <cellStyle name="Result2" xfId="86"/>
    <cellStyle name="Result2 8" xfId="87"/>
    <cellStyle name="Status 19" xfId="88"/>
    <cellStyle name="Text 20" xfId="89"/>
    <cellStyle name="Title" xfId="90"/>
    <cellStyle name="Warning 21" xfId="91"/>
    <cellStyle name="Warning Text" xfId="92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EE"/>
      <rgbColor rgb="FFFFC000"/>
      <rgbColor rgb="FFFF00FF"/>
      <rgbColor rgb="FF00FFFF"/>
      <rgbColor rgb="FFCC0000"/>
      <rgbColor rgb="FF008000"/>
      <rgbColor rgb="FF000080"/>
      <rgbColor rgb="FFBF9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DDDDD"/>
      <rgbColor rgb="FFCCFFCC"/>
      <rgbColor rgb="FFFFCCCC"/>
      <rgbColor rgb="FF99CCFF"/>
      <rgbColor rgb="FFFF99CC"/>
      <rgbColor rgb="FFCC99FF"/>
      <rgbColor rgb="FFFFCC99"/>
      <rgbColor rgb="FF3366FF"/>
      <rgbColor rgb="FF33CCCC"/>
      <rgbColor rgb="FF70AD47"/>
      <rgbColor rgb="FFFFCC00"/>
      <rgbColor rgb="FFFF9900"/>
      <rgbColor rgb="FFFF6600"/>
      <rgbColor rgb="FF666699"/>
      <rgbColor rgb="FF969696"/>
      <rgbColor rgb="FF003366"/>
      <rgbColor rgb="FF339966"/>
      <rgbColor rgb="FF006600"/>
      <rgbColor rgb="FF333300"/>
      <rgbColor rgb="FFED7D3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6" activeCellId="0" sqref="S16"/>
    </sheetView>
  </sheetViews>
  <sheetFormatPr defaultColWidth="15.30859375" defaultRowHeight="13.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16.42"/>
    <col collapsed="false" customWidth="true" hidden="false" outlineLevel="0" max="7" min="7" style="0" width="15"/>
    <col collapsed="false" customWidth="true" hidden="false" outlineLevel="0" max="8" min="8" style="0" width="1.58"/>
    <col collapsed="false" customWidth="true" hidden="false" outlineLevel="0" max="9" min="9" style="1" width="7"/>
    <col collapsed="false" customWidth="true" hidden="false" outlineLevel="0" max="16" min="10" style="1" width="6.28"/>
    <col collapsed="false" customWidth="true" hidden="false" outlineLevel="0" max="17" min="17" style="1" width="6.15"/>
    <col collapsed="false" customWidth="true" hidden="false" outlineLevel="0" max="26" min="18" style="1" width="6.28"/>
    <col collapsed="false" customWidth="true" hidden="false" outlineLevel="0" max="27" min="27" style="0" width="11.29"/>
    <col collapsed="false" customWidth="true" hidden="false" outlineLevel="0" max="1024" min="1017" style="0" width="13.7"/>
  </cols>
  <sheetData>
    <row r="1" s="2" customFormat="true" ht="15.75" hidden="false" customHeight="true" outlineLevel="0" collapsed="false">
      <c r="B1" s="3" t="s">
        <v>0</v>
      </c>
      <c r="C1" s="3"/>
      <c r="D1" s="3"/>
      <c r="E1" s="3"/>
      <c r="F1" s="3"/>
      <c r="G1" s="3"/>
      <c r="H1" s="4"/>
      <c r="I1" s="5" t="s">
        <v>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2" customFormat="true" ht="15.75" hidden="false" customHeight="false" outlineLevel="0" collapsed="false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="2" customFormat="true" ht="15.75" hidden="false" customHeight="true" outlineLevel="0" collapsed="false">
      <c r="B3" s="6" t="s">
        <v>2</v>
      </c>
      <c r="C3" s="6"/>
      <c r="D3" s="6"/>
      <c r="E3" s="6"/>
      <c r="F3" s="6"/>
      <c r="G3" s="6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="2" customFormat="true" ht="15.75" hidden="false" customHeight="true" outlineLevel="0" collapsed="false">
      <c r="B4" s="3" t="s">
        <v>3</v>
      </c>
      <c r="C4" s="3"/>
      <c r="D4" s="3"/>
      <c r="E4" s="3"/>
      <c r="F4" s="3"/>
      <c r="G4" s="3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="2" customFormat="true" ht="15.75" hidden="false" customHeight="false" outlineLevel="0" collapsed="false">
      <c r="B5" s="3"/>
      <c r="C5" s="3"/>
      <c r="D5" s="3"/>
      <c r="E5" s="3"/>
      <c r="F5" s="3"/>
      <c r="G5" s="3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5.25" hidden="false" customHeight="true" outlineLevel="0" collapsed="false"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5" hidden="false" customHeight="false" outlineLevel="0" collapsed="false">
      <c r="AA7" s="1"/>
    </row>
    <row r="8" customFormat="false" ht="15" hidden="false" customHeight="false" outlineLevel="0" collapsed="false"/>
    <row r="9" customFormat="false" ht="17.25" hidden="false" customHeight="true" outlineLevel="0" collapsed="false">
      <c r="B9" s="10" t="s">
        <v>4</v>
      </c>
      <c r="C9" s="10"/>
      <c r="D9" s="10"/>
      <c r="E9" s="10"/>
      <c r="F9" s="10"/>
      <c r="G9" s="10"/>
    </row>
    <row r="10" customFormat="false" ht="15" hidden="false" customHeight="true" outlineLevel="0" collapsed="false">
      <c r="B10" s="11" t="s">
        <v>5</v>
      </c>
      <c r="C10" s="11"/>
      <c r="D10" s="11"/>
      <c r="E10" s="11"/>
      <c r="F10" s="11"/>
      <c r="G10" s="11"/>
      <c r="I10" s="12" t="n">
        <v>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" hidden="false" customHeight="true" outlineLevel="0" collapsed="false">
      <c r="B11" s="11" t="s">
        <v>6</v>
      </c>
      <c r="C11" s="11"/>
      <c r="D11" s="11"/>
      <c r="E11" s="11"/>
      <c r="F11" s="11"/>
      <c r="G11" s="11"/>
      <c r="I11" s="12" t="n">
        <v>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26.25" hidden="false" customHeight="true" outlineLevel="0" collapsed="false">
      <c r="B12" s="11" t="s">
        <v>7</v>
      </c>
      <c r="C12" s="11"/>
      <c r="D12" s="11"/>
      <c r="E12" s="11"/>
      <c r="F12" s="11"/>
      <c r="G12" s="11"/>
      <c r="I12" s="12" t="n">
        <v>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15" hidden="false" customHeight="false" outlineLevel="0" collapsed="false"/>
    <row r="14" customFormat="false" ht="17.25" hidden="false" customHeight="true" outlineLevel="0" collapsed="false">
      <c r="B14" s="13" t="s">
        <v>8</v>
      </c>
      <c r="C14" s="13"/>
      <c r="D14" s="13"/>
      <c r="E14" s="13"/>
      <c r="F14" s="13"/>
      <c r="G14" s="13"/>
    </row>
    <row r="15" customFormat="false" ht="15" hidden="false" customHeight="true" outlineLevel="0" collapsed="false">
      <c r="B15" s="14" t="s">
        <v>9</v>
      </c>
      <c r="C15" s="14"/>
      <c r="D15" s="14"/>
      <c r="E15" s="14"/>
      <c r="F15" s="14"/>
      <c r="G15" s="14"/>
      <c r="I15" s="12" t="n">
        <v>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13.8" hidden="false" customHeight="true" outlineLevel="0" collapsed="false">
      <c r="B16" s="14" t="s">
        <v>10</v>
      </c>
      <c r="C16" s="14"/>
      <c r="D16" s="14"/>
      <c r="E16" s="14"/>
      <c r="F16" s="14"/>
      <c r="G16" s="14"/>
      <c r="I16" s="12" t="n">
        <v>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15" hidden="false" customHeight="true" outlineLevel="0" collapsed="false">
      <c r="B17" s="11" t="s">
        <v>11</v>
      </c>
      <c r="C17" s="11"/>
      <c r="D17" s="11"/>
      <c r="E17" s="11"/>
      <c r="F17" s="11"/>
      <c r="G17" s="11"/>
      <c r="I17" s="12" t="n">
        <v>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15" hidden="false" customHeight="true" outlineLevel="0" collapsed="false">
      <c r="B18" s="11" t="s">
        <v>12</v>
      </c>
      <c r="C18" s="11"/>
      <c r="D18" s="11"/>
      <c r="E18" s="11"/>
      <c r="F18" s="11"/>
      <c r="G18" s="11"/>
      <c r="I18" s="12" t="n">
        <v>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customFormat="false" ht="15" hidden="false" customHeight="true" outlineLevel="0" collapsed="false">
      <c r="B19" s="11" t="s">
        <v>13</v>
      </c>
      <c r="C19" s="11"/>
      <c r="D19" s="11"/>
      <c r="E19" s="11"/>
      <c r="F19" s="11"/>
      <c r="G19" s="11"/>
      <c r="I19" s="12" t="n">
        <v>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customFormat="false" ht="15" hidden="false" customHeight="true" outlineLevel="0" collapsed="false">
      <c r="B20" s="14" t="s">
        <v>14</v>
      </c>
      <c r="C20" s="14"/>
      <c r="D20" s="14"/>
      <c r="E20" s="14"/>
      <c r="F20" s="14"/>
      <c r="G20" s="14"/>
      <c r="I20" s="12" t="n">
        <v>5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5" hidden="false" customHeight="true" outlineLevel="0" collapsed="false">
      <c r="B21" s="14" t="s">
        <v>15</v>
      </c>
      <c r="C21" s="14"/>
      <c r="D21" s="14"/>
      <c r="E21" s="14"/>
      <c r="F21" s="14"/>
      <c r="G21" s="14"/>
      <c r="I21" s="12" t="n">
        <v>5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15" hidden="false" customHeight="true" outlineLevel="0" collapsed="false">
      <c r="B22" s="14" t="s">
        <v>16</v>
      </c>
      <c r="C22" s="14"/>
      <c r="D22" s="14"/>
      <c r="E22" s="14"/>
      <c r="F22" s="14"/>
      <c r="G22" s="14"/>
      <c r="I22" s="12" t="n">
        <v>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customFormat="false" ht="15" hidden="false" customHeight="false" outlineLevel="0" collapsed="false">
      <c r="B23" s="15"/>
      <c r="C23" s="15"/>
      <c r="D23" s="15"/>
      <c r="E23" s="15"/>
      <c r="F23" s="15"/>
      <c r="G23" s="15"/>
    </row>
    <row r="24" customFormat="false" ht="17.25" hidden="false" customHeight="true" outlineLevel="0" collapsed="false">
      <c r="B24" s="16" t="s">
        <v>17</v>
      </c>
      <c r="C24" s="16"/>
      <c r="D24" s="16"/>
      <c r="E24" s="16"/>
      <c r="F24" s="16"/>
      <c r="G24" s="16"/>
    </row>
    <row r="25" customFormat="false" ht="15" hidden="false" customHeight="true" outlineLevel="0" collapsed="false">
      <c r="B25" s="11" t="s">
        <v>18</v>
      </c>
      <c r="C25" s="11"/>
      <c r="D25" s="11"/>
      <c r="E25" s="11"/>
      <c r="F25" s="11"/>
      <c r="G25" s="11"/>
      <c r="I25" s="12" t="n">
        <v>5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Format="false" ht="15" hidden="false" customHeight="true" outlineLevel="0" collapsed="false">
      <c r="B26" s="11" t="s">
        <v>19</v>
      </c>
      <c r="C26" s="11"/>
      <c r="D26" s="11"/>
      <c r="E26" s="11"/>
      <c r="F26" s="11"/>
      <c r="G26" s="11"/>
      <c r="I26" s="12" t="n">
        <v>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customFormat="false" ht="15" hidden="false" customHeight="false" outlineLevel="0" collapsed="false">
      <c r="B27" s="15"/>
      <c r="C27" s="15"/>
      <c r="D27" s="15"/>
      <c r="E27" s="15"/>
      <c r="F27" s="15"/>
      <c r="G27" s="15"/>
    </row>
    <row r="28" customFormat="false" ht="17.25" hidden="false" customHeight="true" outlineLevel="0" collapsed="false">
      <c r="B28" s="17" t="s">
        <v>20</v>
      </c>
      <c r="C28" s="17"/>
      <c r="D28" s="17"/>
      <c r="E28" s="17"/>
      <c r="F28" s="17"/>
      <c r="G28" s="17"/>
    </row>
    <row r="29" customFormat="false" ht="15" hidden="false" customHeight="true" outlineLevel="0" collapsed="false">
      <c r="B29" s="11" t="s">
        <v>21</v>
      </c>
      <c r="C29" s="11"/>
      <c r="D29" s="11"/>
      <c r="E29" s="11"/>
      <c r="F29" s="11"/>
      <c r="G29" s="11"/>
      <c r="I29" s="12" t="n">
        <v>5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customFormat="false" ht="15" hidden="false" customHeight="true" outlineLevel="0" collapsed="false">
      <c r="B30" s="11" t="s">
        <v>22</v>
      </c>
      <c r="C30" s="11"/>
      <c r="D30" s="11"/>
      <c r="E30" s="11"/>
      <c r="F30" s="11"/>
      <c r="G30" s="11"/>
      <c r="I30" s="12" t="n">
        <v>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customFormat="false" ht="15" hidden="false" customHeight="true" outlineLevel="0" collapsed="false">
      <c r="B31" s="11" t="s">
        <v>23</v>
      </c>
      <c r="C31" s="11"/>
      <c r="D31" s="11"/>
      <c r="E31" s="11"/>
      <c r="F31" s="11"/>
      <c r="G31" s="11"/>
      <c r="I31" s="12" t="n">
        <v>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customFormat="false" ht="15" hidden="false" customHeight="false" outlineLevel="0" collapsed="false"/>
    <row r="33" customFormat="false" ht="17.25" hidden="false" customHeight="true" outlineLevel="0" collapsed="false">
      <c r="B33" s="10" t="str">
        <f aca="false">B9</f>
        <v>Representación  y Manejo de Restricciones (20%)</v>
      </c>
      <c r="C33" s="10"/>
      <c r="D33" s="10"/>
      <c r="E33" s="10"/>
      <c r="F33" s="10"/>
      <c r="G33" s="10"/>
      <c r="I33" s="18" t="n">
        <f aca="false">AVERAGE(I10:I12)*100/5</f>
        <v>100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customFormat="false" ht="17.25" hidden="false" customHeight="true" outlineLevel="0" collapsed="false">
      <c r="B34" s="13" t="str">
        <f aca="false">B14</f>
        <v>Algoritmo  (60%)</v>
      </c>
      <c r="C34" s="13"/>
      <c r="D34" s="13"/>
      <c r="E34" s="13"/>
      <c r="F34" s="13"/>
      <c r="G34" s="13"/>
      <c r="I34" s="18" t="n">
        <f aca="false">AVERAGE(I15:I22)*100/5</f>
        <v>100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customFormat="false" ht="17.25" hidden="false" customHeight="true" outlineLevel="0" collapsed="false">
      <c r="B35" s="16" t="str">
        <f aca="false">B24</f>
        <v>Conclusiones (10%)</v>
      </c>
      <c r="C35" s="16"/>
      <c r="D35" s="16"/>
      <c r="E35" s="16"/>
      <c r="F35" s="16"/>
      <c r="G35" s="16"/>
      <c r="I35" s="18" t="n">
        <f aca="false">SUM(I25*1/2,I26*1/2)*100/5</f>
        <v>100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customFormat="false" ht="17.25" hidden="false" customHeight="true" outlineLevel="0" collapsed="false">
      <c r="B36" s="17" t="str">
        <f aca="false">B28</f>
        <v>Otros (10%)</v>
      </c>
      <c r="C36" s="17"/>
      <c r="D36" s="17"/>
      <c r="E36" s="17"/>
      <c r="F36" s="17"/>
      <c r="G36" s="17"/>
      <c r="I36" s="18" t="n">
        <f aca="false">SUM(I29*1/3,I30*1/3,I31*1/3)*100/5</f>
        <v>100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customFormat="false" ht="16.5" hidden="false" customHeight="true" outlineLevel="0" collapsed="false">
      <c r="B37" s="19" t="s">
        <v>24</v>
      </c>
      <c r="C37" s="19"/>
      <c r="D37" s="19"/>
      <c r="E37" s="19"/>
      <c r="F37" s="19"/>
      <c r="G37" s="19"/>
    </row>
    <row r="38" customFormat="false" ht="17.25" hidden="false" customHeight="true" outlineLevel="0" collapsed="false">
      <c r="B38" s="20" t="s">
        <v>25</v>
      </c>
      <c r="C38" s="20"/>
      <c r="D38" s="20"/>
      <c r="E38" s="20"/>
      <c r="F38" s="20"/>
      <c r="G38" s="20"/>
      <c r="I38" s="21" t="n">
        <f aca="false">I33*0.2+I34*0.6+I35*0.1+I36*0.1</f>
        <v>100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40" customFormat="false" ht="15" hidden="false" customHeight="false" outlineLevel="0" collapsed="false">
      <c r="J40" s="22"/>
    </row>
  </sheetData>
  <mergeCells count="48">
    <mergeCell ref="B1:G1"/>
    <mergeCell ref="I1:Z1"/>
    <mergeCell ref="B3:G3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B4:G5"/>
    <mergeCell ref="B9:G9"/>
    <mergeCell ref="B10:G10"/>
    <mergeCell ref="B11:G11"/>
    <mergeCell ref="B12:G12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4:G24"/>
    <mergeCell ref="B25:G25"/>
    <mergeCell ref="B26:G26"/>
    <mergeCell ref="B28:G28"/>
    <mergeCell ref="B29:G29"/>
    <mergeCell ref="B30:G30"/>
    <mergeCell ref="B31:G31"/>
    <mergeCell ref="B33:G33"/>
    <mergeCell ref="B34:G34"/>
    <mergeCell ref="B35:G35"/>
    <mergeCell ref="B36:G36"/>
    <mergeCell ref="B37:G37"/>
    <mergeCell ref="B38:G38"/>
  </mergeCells>
  <conditionalFormatting sqref="I38:Z38">
    <cfRule type="cellIs" priority="2" operator="lessThan" aboveAverage="0" equalAverage="0" bottom="0" percent="0" rank="0" text="" dxfId="0">
      <formula>54.5</formula>
    </cfRule>
  </conditionalFormatting>
  <printOptions headings="false" gridLines="false" gridLinesSet="true" horizontalCentered="false" verticalCentered="false"/>
  <pageMargins left="0.511805555555556" right="0.511805555555556" top="1.47708333333333" bottom="1.47708333333333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51966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2009-05-15T18:03:33Z</dcterms:created>
  <dc:creator>Nelson</dc:creator>
  <dc:description/>
  <dc:language>en-US</dc:language>
  <cp:lastModifiedBy/>
  <cp:lastPrinted>2022-11-30T15:21:06Z</cp:lastPrinted>
  <dcterms:modified xsi:type="dcterms:W3CDTF">2026-04-21T14:26:07Z</dcterms:modified>
  <cp:revision>282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